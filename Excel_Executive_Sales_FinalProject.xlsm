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yur\Excel_Project\"/>
    </mc:Choice>
  </mc:AlternateContent>
  <xr:revisionPtr revIDLastSave="0" documentId="13_ncr:1_{2E6F783D-B38D-400D-AC41-682D653CF2E5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Data" sheetId="1" r:id="rId1"/>
    <sheet name="Chart_Data" sheetId="2" r:id="rId2"/>
    <sheet name="Filter_Data" sheetId="3" r:id="rId3"/>
    <sheet name="Dashboard" sheetId="4" r:id="rId4"/>
  </sheets>
  <definedNames>
    <definedName name="_xlnm._FilterDatabase" localSheetId="3" hidden="1">Dashboard!$N$10:$P$12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2" l="1"/>
  <c r="B17" i="3"/>
  <c r="B16" i="3"/>
  <c r="B15" i="3"/>
  <c r="B14" i="3"/>
  <c r="B11" i="3"/>
  <c r="B10" i="3"/>
  <c r="B9" i="3"/>
  <c r="B8" i="3"/>
  <c r="B7" i="3"/>
  <c r="B3" i="3"/>
  <c r="F10" i="4" s="1"/>
  <c r="B2" i="3"/>
  <c r="B10" i="4" s="1"/>
  <c r="B31" i="2"/>
  <c r="B30" i="2"/>
  <c r="B28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L15" i="4"/>
  <c r="H15" i="4"/>
  <c r="B15" i="4"/>
  <c r="B4" i="3" l="1"/>
  <c r="J10" i="4" s="1"/>
</calcChain>
</file>

<file path=xl/sharedStrings.xml><?xml version="1.0" encoding="utf-8"?>
<sst xmlns="http://schemas.openxmlformats.org/spreadsheetml/2006/main" count="7773" uniqueCount="58">
  <si>
    <t>KEY METRICS</t>
  </si>
  <si>
    <t>TOTAL SALES</t>
  </si>
  <si>
    <t>TOTAL PROFIT</t>
  </si>
  <si>
    <t>PROFIT MARGIN</t>
  </si>
  <si>
    <t>SELECT PERIOD</t>
  </si>
  <si>
    <t>All Year</t>
  </si>
  <si>
    <t>▲  On Track</t>
  </si>
  <si>
    <t>▼  click to select month</t>
  </si>
  <si>
    <t>Month</t>
  </si>
  <si>
    <t>Week</t>
  </si>
  <si>
    <t>Category</t>
  </si>
  <si>
    <t>Region</t>
  </si>
  <si>
    <t>Sales</t>
  </si>
  <si>
    <t>Cost</t>
  </si>
  <si>
    <t>Profit</t>
  </si>
  <si>
    <t>Jan-24</t>
  </si>
  <si>
    <t>Week 1</t>
  </si>
  <si>
    <t>Electronics</t>
  </si>
  <si>
    <t>North</t>
  </si>
  <si>
    <t>South</t>
  </si>
  <si>
    <t>East</t>
  </si>
  <si>
    <t>West</t>
  </si>
  <si>
    <t>Furniture</t>
  </si>
  <si>
    <t>Clothing</t>
  </si>
  <si>
    <t>Food &amp; Beverage</t>
  </si>
  <si>
    <t>Sports</t>
  </si>
  <si>
    <t>Week 2</t>
  </si>
  <si>
    <t>Week 3</t>
  </si>
  <si>
    <t>Week 4</t>
  </si>
  <si>
    <t>Feb-24</t>
  </si>
  <si>
    <t>Mar-24</t>
  </si>
  <si>
    <t>Apr-24</t>
  </si>
  <si>
    <t>May-24</t>
  </si>
  <si>
    <t>Jun-24</t>
  </si>
  <si>
    <t>Jul-24</t>
  </si>
  <si>
    <t>Aug-24</t>
  </si>
  <si>
    <t>Sep-24</t>
  </si>
  <si>
    <t>Oct-24</t>
  </si>
  <si>
    <t>Nov-24</t>
  </si>
  <si>
    <t>Dec-24</t>
  </si>
  <si>
    <t>Jan-25</t>
  </si>
  <si>
    <t>Feb-25</t>
  </si>
  <si>
    <t>Mar-25</t>
  </si>
  <si>
    <t>Apr-25</t>
  </si>
  <si>
    <t>May-25</t>
  </si>
  <si>
    <t>Jun-25</t>
  </si>
  <si>
    <t>Jul-25</t>
  </si>
  <si>
    <t>Aug-25</t>
  </si>
  <si>
    <t>Sep-25</t>
  </si>
  <si>
    <t>Oct-25</t>
  </si>
  <si>
    <t>Nov-25</t>
  </si>
  <si>
    <t>Dec-25</t>
  </si>
  <si>
    <t>Sales_Monthly</t>
  </si>
  <si>
    <t>Sales_Weekly</t>
  </si>
  <si>
    <t>MonthList</t>
  </si>
  <si>
    <t>Margin</t>
  </si>
  <si>
    <t>FILTER</t>
  </si>
  <si>
    <t>Sales Performance Overview| 2024 &amp;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</si>
</sst>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&quot;$&quot;#,##0"/>
  </numFmts>
  <fonts count="11" x14ac:knownFonts="1">
    <font>
      <sz val="11"/>
      <color theme="1"/>
      <name val="Calibri"/>
      <family val="2"/>
      <scheme val="minor"/>
    </font>
    <font>
      <b/>
      <sz val="10"/>
      <color rgb="FFFFFFFF"/>
      <name val="Arial"/>
    </font>
    <font>
      <sz val="8"/>
      <color rgb="FF95A5A6"/>
      <name val="Arial"/>
    </font>
    <font>
      <b/>
      <sz val="8"/>
      <color rgb="FF707B7C"/>
      <name val="Arial"/>
    </font>
    <font>
      <b/>
      <sz val="20"/>
      <color rgb="FF1C2833"/>
      <name val="Arial"/>
    </font>
    <font>
      <sz val="7"/>
      <color rgb="FF1E8449"/>
      <name val="Arial"/>
    </font>
    <font>
      <b/>
      <sz val="16"/>
      <color rgb="FF1C2833"/>
      <name val="Arial"/>
    </font>
    <font>
      <i/>
      <sz val="7"/>
      <color rgb="FF2E86C1"/>
      <name val="Arial"/>
    </font>
    <font>
      <sz val="11"/>
      <color theme="3"/>
      <name val="Calibri"/>
      <family val="2"/>
      <scheme val="minor"/>
    </font>
    <font>
      <b/>
      <sz val="8"/>
      <color rgb="FF707B7C"/>
      <name val="Arial"/>
      <family val="2"/>
    </font>
    <font>
      <b/>
      <sz val="24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2C3E50"/>
      </patternFill>
    </fill>
    <fill>
      <patternFill patternType="solid">
        <fgColor rgb="FFFAFBFC"/>
      </patternFill>
    </fill>
    <fill>
      <patternFill patternType="solid">
        <fgColor rgb="FF1C2833"/>
      </patternFill>
    </fill>
    <fill>
      <patternFill patternType="solid">
        <fgColor rgb="FFFFFFFF"/>
      </patternFill>
    </fill>
    <fill>
      <patternFill patternType="solid">
        <fgColor rgb="FFEBF5FB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rgb="FFD5DBDB"/>
      </left>
      <right style="thin">
        <color rgb="FFD5DBDB"/>
      </right>
      <top style="thin">
        <color rgb="FFD5DBDB"/>
      </top>
      <bottom style="thin">
        <color rgb="FFD5DBDB"/>
      </bottom>
      <diagonal/>
    </border>
    <border>
      <left/>
      <right/>
      <top style="thin">
        <color rgb="FFD5DBDB"/>
      </top>
      <bottom/>
      <diagonal/>
    </border>
    <border>
      <left/>
      <right style="thin">
        <color rgb="FFD5DBDB"/>
      </right>
      <top style="thin">
        <color rgb="FFD5DBDB"/>
      </top>
      <bottom/>
      <diagonal/>
    </border>
    <border>
      <left/>
      <right/>
      <top style="thin">
        <color rgb="FFD5DBDB"/>
      </top>
      <bottom style="thin">
        <color rgb="FFD5DBDB"/>
      </bottom>
      <diagonal/>
    </border>
    <border>
      <left/>
      <right style="thin">
        <color rgb="FFD5DBDB"/>
      </right>
      <top style="thin">
        <color rgb="FFD5DBDB"/>
      </top>
      <bottom style="thin">
        <color rgb="FFD5DBDB"/>
      </bottom>
      <diagonal/>
    </border>
    <border>
      <left style="thin">
        <color rgb="FFD5DBDB"/>
      </left>
      <right/>
      <top/>
      <bottom style="thin">
        <color rgb="FFD5DBDB"/>
      </bottom>
      <diagonal/>
    </border>
    <border>
      <left/>
      <right/>
      <top/>
      <bottom style="thin">
        <color rgb="FFD5DBDB"/>
      </bottom>
      <diagonal/>
    </border>
    <border>
      <left/>
      <right style="thin">
        <color rgb="FFD5DBDB"/>
      </right>
      <top/>
      <bottom style="thin">
        <color rgb="FFD5DBDB"/>
      </bottom>
      <diagonal/>
    </border>
    <border>
      <left style="thin">
        <color rgb="FF2E86C1"/>
      </left>
      <right style="thin">
        <color rgb="FF2E86C1"/>
      </right>
      <top style="thin">
        <color rgb="FF2E86C1"/>
      </top>
      <bottom style="thin">
        <color rgb="FF2E86C1"/>
      </bottom>
      <diagonal/>
    </border>
    <border>
      <left style="thin">
        <color rgb="FFD5DBDB"/>
      </left>
      <right/>
      <top style="thin">
        <color rgb="FFD5DBDB"/>
      </top>
      <bottom style="thin">
        <color rgb="FFD5DBDB"/>
      </bottom>
      <diagonal/>
    </border>
    <border>
      <left style="thin">
        <color rgb="FFD5DBDB"/>
      </left>
      <right/>
      <top style="thin">
        <color rgb="FFD5DBDB"/>
      </top>
      <bottom/>
      <diagonal/>
    </border>
    <border>
      <left style="thin">
        <color rgb="FFD5DBDB"/>
      </left>
      <right style="thin">
        <color rgb="FFD5DBDB"/>
      </right>
      <top/>
      <bottom style="thin">
        <color rgb="FFD5DBDB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0" xfId="0" applyFont="1" applyFill="1" applyAlignment="1">
      <alignment horizontal="center"/>
    </xf>
    <xf numFmtId="3" fontId="0" fillId="0" borderId="0" xfId="0" applyNumberFormat="1"/>
    <xf numFmtId="164" fontId="0" fillId="0" borderId="0" xfId="0" applyNumberFormat="1"/>
    <xf numFmtId="0" fontId="0" fillId="3" borderId="0" xfId="0" applyFill="1"/>
    <xf numFmtId="0" fontId="2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0" fillId="5" borderId="1" xfId="0" applyFill="1" applyBorder="1"/>
    <xf numFmtId="0" fontId="0" fillId="8" borderId="0" xfId="0" applyFill="1"/>
    <xf numFmtId="0" fontId="8" fillId="7" borderId="12" xfId="0" applyFont="1" applyFill="1" applyBorder="1"/>
    <xf numFmtId="0" fontId="0" fillId="7" borderId="12" xfId="0" applyFill="1" applyBorder="1"/>
    <xf numFmtId="0" fontId="0" fillId="10" borderId="12" xfId="0" applyFill="1" applyBorder="1"/>
    <xf numFmtId="0" fontId="9" fillId="3" borderId="0" xfId="0" applyFont="1" applyFill="1" applyAlignment="1">
      <alignment horizontal="left" vertical="center"/>
    </xf>
    <xf numFmtId="0" fontId="0" fillId="9" borderId="0" xfId="0" applyFill="1"/>
    <xf numFmtId="0" fontId="3" fillId="9" borderId="0" xfId="0" applyFont="1" applyFill="1" applyAlignment="1">
      <alignment horizontal="left" vertical="center"/>
    </xf>
    <xf numFmtId="165" fontId="0" fillId="0" borderId="0" xfId="0" applyNumberFormat="1"/>
    <xf numFmtId="1" fontId="1" fillId="2" borderId="0" xfId="0" applyNumberFormat="1" applyFont="1" applyFill="1" applyAlignment="1">
      <alignment horizontal="center"/>
    </xf>
    <xf numFmtId="1" fontId="0" fillId="0" borderId="0" xfId="0" applyNumberFormat="1"/>
    <xf numFmtId="0" fontId="0" fillId="4" borderId="0" xfId="0" applyFill="1"/>
    <xf numFmtId="0" fontId="0" fillId="0" borderId="0" xfId="0"/>
    <xf numFmtId="0" fontId="2" fillId="5" borderId="1" xfId="0" applyFont="1" applyFill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3" fillId="3" borderId="0" xfId="0" applyFont="1" applyFill="1" applyAlignment="1">
      <alignment horizontal="left" vertical="center"/>
    </xf>
    <xf numFmtId="3" fontId="4" fillId="5" borderId="11" xfId="0" applyNumberFormat="1" applyFont="1" applyFill="1" applyBorder="1" applyAlignment="1">
      <alignment horizontal="center" vertical="center"/>
    </xf>
    <xf numFmtId="3" fontId="4" fillId="5" borderId="2" xfId="0" applyNumberFormat="1" applyFont="1" applyFill="1" applyBorder="1" applyAlignment="1">
      <alignment horizontal="center" vertical="center"/>
    </xf>
    <xf numFmtId="3" fontId="4" fillId="5" borderId="3" xfId="0" applyNumberFormat="1" applyFont="1" applyFill="1" applyBorder="1" applyAlignment="1">
      <alignment horizontal="center" vertical="center"/>
    </xf>
    <xf numFmtId="3" fontId="4" fillId="5" borderId="6" xfId="0" applyNumberFormat="1" applyFont="1" applyFill="1" applyBorder="1" applyAlignment="1">
      <alignment horizontal="center" vertical="center"/>
    </xf>
    <xf numFmtId="3" fontId="4" fillId="5" borderId="7" xfId="0" applyNumberFormat="1" applyFont="1" applyFill="1" applyBorder="1" applyAlignment="1">
      <alignment horizontal="center" vertical="center"/>
    </xf>
    <xf numFmtId="3" fontId="4" fillId="5" borderId="8" xfId="0" applyNumberFormat="1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5" fillId="5" borderId="1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0" fillId="0" borderId="9" xfId="0" applyBorder="1"/>
    <xf numFmtId="3" fontId="4" fillId="5" borderId="1" xfId="0" applyNumberFormat="1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10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2" fillId="5" borderId="10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AFB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10"/>
  <c:chart>
    <c:autoTitleDeleted val="1"/>
    <c:plotArea>
      <c:layout/>
      <c:lineChart>
        <c:grouping val="standard"/>
        <c:varyColors val="1"/>
        <c:ser>
          <c:idx val="0"/>
          <c:order val="0"/>
          <c:tx>
            <c:strRef>
              <c:f>Chart_Data!$B$1</c:f>
              <c:strCache>
                <c:ptCount val="1"/>
                <c:pt idx="0">
                  <c:v>Sales_Monthly</c:v>
                </c:pt>
              </c:strCache>
            </c:strRef>
          </c:tx>
          <c:spPr>
            <a:ln w="18000">
              <a:solidFill>
                <a:srgbClr val="D354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35400"/>
              </a:solidFill>
              <a:ln>
                <a:solidFill>
                  <a:srgbClr val="D35400"/>
                </a:solidFill>
                <a:prstDash val="solid"/>
              </a:ln>
            </c:spPr>
          </c:marker>
          <c:cat>
            <c:strRef>
              <c:f>Chart_Data!$A$2:$A$25</c:f>
              <c:strCache>
                <c:ptCount val="24"/>
                <c:pt idx="0">
                  <c:v>Jan-24</c:v>
                </c:pt>
                <c:pt idx="1">
                  <c:v>Feb-24</c:v>
                </c:pt>
                <c:pt idx="2">
                  <c:v>Mar-24</c:v>
                </c:pt>
                <c:pt idx="3">
                  <c:v>Apr-24</c:v>
                </c:pt>
                <c:pt idx="4">
                  <c:v>May-24</c:v>
                </c:pt>
                <c:pt idx="5">
                  <c:v>Jun-24</c:v>
                </c:pt>
                <c:pt idx="6">
                  <c:v>Jul-24</c:v>
                </c:pt>
                <c:pt idx="7">
                  <c:v>Aug-24</c:v>
                </c:pt>
                <c:pt idx="8">
                  <c:v>Sep-24</c:v>
                </c:pt>
                <c:pt idx="9">
                  <c:v>Oct-24</c:v>
                </c:pt>
                <c:pt idx="10">
                  <c:v>Nov-24</c:v>
                </c:pt>
                <c:pt idx="11">
                  <c:v>Dec-24</c:v>
                </c:pt>
                <c:pt idx="12">
                  <c:v>Jan-25</c:v>
                </c:pt>
                <c:pt idx="13">
                  <c:v>Feb-25</c:v>
                </c:pt>
                <c:pt idx="14">
                  <c:v>Mar-25</c:v>
                </c:pt>
                <c:pt idx="15">
                  <c:v>Apr-25</c:v>
                </c:pt>
                <c:pt idx="16">
                  <c:v>May-25</c:v>
                </c:pt>
                <c:pt idx="17">
                  <c:v>Jun-25</c:v>
                </c:pt>
                <c:pt idx="18">
                  <c:v>Jul-25</c:v>
                </c:pt>
                <c:pt idx="19">
                  <c:v>Aug-25</c:v>
                </c:pt>
                <c:pt idx="20">
                  <c:v>Sep-25</c:v>
                </c:pt>
                <c:pt idx="21">
                  <c:v>Oct-25</c:v>
                </c:pt>
                <c:pt idx="22">
                  <c:v>Nov-25</c:v>
                </c:pt>
                <c:pt idx="23">
                  <c:v>Dec-25</c:v>
                </c:pt>
              </c:strCache>
            </c:strRef>
          </c:cat>
          <c:val>
            <c:numRef>
              <c:f>Chart_Data!$B$2:$B$25</c:f>
              <c:numCache>
                <c:formatCode>#,##0</c:formatCode>
                <c:ptCount val="24"/>
                <c:pt idx="0">
                  <c:v>1066930.27</c:v>
                </c:pt>
                <c:pt idx="1">
                  <c:v>1077165.1299999997</c:v>
                </c:pt>
                <c:pt idx="2">
                  <c:v>1138643.3900000006</c:v>
                </c:pt>
                <c:pt idx="3">
                  <c:v>1028123.22</c:v>
                </c:pt>
                <c:pt idx="4">
                  <c:v>1191370.1800000002</c:v>
                </c:pt>
                <c:pt idx="5">
                  <c:v>1139893.8099999998</c:v>
                </c:pt>
                <c:pt idx="6">
                  <c:v>1057368.32</c:v>
                </c:pt>
                <c:pt idx="7">
                  <c:v>1044843.18</c:v>
                </c:pt>
                <c:pt idx="8">
                  <c:v>1149328.7699999996</c:v>
                </c:pt>
                <c:pt idx="9">
                  <c:v>1055875.4199999997</c:v>
                </c:pt>
                <c:pt idx="10">
                  <c:v>1106715.1999999997</c:v>
                </c:pt>
                <c:pt idx="11">
                  <c:v>1075851.6700000002</c:v>
                </c:pt>
                <c:pt idx="12">
                  <c:v>1042079.73</c:v>
                </c:pt>
                <c:pt idx="13">
                  <c:v>939821.29999999993</c:v>
                </c:pt>
                <c:pt idx="14">
                  <c:v>1118736.3600000001</c:v>
                </c:pt>
                <c:pt idx="15">
                  <c:v>1110109.6300000001</c:v>
                </c:pt>
                <c:pt idx="16">
                  <c:v>1085136.46</c:v>
                </c:pt>
                <c:pt idx="17">
                  <c:v>1104663.6599999999</c:v>
                </c:pt>
                <c:pt idx="18">
                  <c:v>1113026.8699999996</c:v>
                </c:pt>
                <c:pt idx="19">
                  <c:v>1100052.5100000005</c:v>
                </c:pt>
                <c:pt idx="20">
                  <c:v>1052645.08</c:v>
                </c:pt>
                <c:pt idx="21">
                  <c:v>1129072.5700000005</c:v>
                </c:pt>
                <c:pt idx="22">
                  <c:v>1202889.1099999999</c:v>
                </c:pt>
                <c:pt idx="23">
                  <c:v>1050398.47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77-4263-AA97-2F044507B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Sales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1"/>
  </c:chart>
  <c:spPr>
    <a:solidFill>
      <a:schemeClr val="bg1"/>
    </a:solidFill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10"/>
  <c:chart>
    <c:autoTitleDeleted val="1"/>
    <c:plotArea>
      <c:layout>
        <c:manualLayout>
          <c:layoutTarget val="inner"/>
          <c:xMode val="edge"/>
          <c:yMode val="edge"/>
          <c:x val="0.101175304046126"/>
          <c:y val="6.5487983360980648E-2"/>
          <c:w val="0.87335190397723828"/>
          <c:h val="0.86873292276504888"/>
        </c:manualLayout>
      </c:layout>
      <c:lineChart>
        <c:grouping val="standard"/>
        <c:varyColors val="1"/>
        <c:ser>
          <c:idx val="0"/>
          <c:order val="0"/>
          <c:tx>
            <c:strRef>
              <c:f>Chart_Data!$B$27</c:f>
              <c:strCache>
                <c:ptCount val="1"/>
                <c:pt idx="0">
                  <c:v>Sales_Weekly</c:v>
                </c:pt>
              </c:strCache>
            </c:strRef>
          </c:tx>
          <c:spPr>
            <a:ln w="18000">
              <a:solidFill>
                <a:srgbClr val="D354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35400"/>
              </a:solidFill>
              <a:ln>
                <a:solidFill>
                  <a:srgbClr val="D35400"/>
                </a:solidFill>
                <a:prstDash val="solid"/>
              </a:ln>
            </c:spPr>
          </c:marker>
          <c:cat>
            <c:strRef>
              <c:f>Chart_Data!$A$28:$A$31</c:f>
              <c:strCache>
                <c:ptCount val="4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</c:strCache>
            </c:strRef>
          </c:cat>
          <c:val>
            <c:numRef>
              <c:f>Chart_Data!$B$28:$B$31</c:f>
              <c:numCache>
                <c:formatCode>#,##0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AC-46E3-9594-B7965D8E1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0"/>
        <c:crosses val="autoZero"/>
        <c:crossBetween val="between"/>
      </c:valAx>
      <c:spPr>
        <a:solidFill>
          <a:schemeClr val="bg1"/>
        </a:solidFill>
        <a:ln>
          <a:noFill/>
        </a:ln>
      </c:spPr>
    </c:plotArea>
    <c:plotVisOnly val="1"/>
    <c:dispBlanksAs val="gap"/>
    <c:showDLblsOverMax val="1"/>
  </c:chart>
  <c:spPr>
    <a:solidFill>
      <a:schemeClr val="bg1"/>
    </a:solidFill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10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Filter_Data!$B$6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rgbClr val="1F497D"/>
            </a:solidFill>
            <a:ln>
              <a:solidFill>
                <a:schemeClr val="tx2"/>
              </a:solidFill>
              <a:prstDash val="solid"/>
            </a:ln>
          </c:spPr>
          <c:invertIfNegative val="1"/>
          <c:dPt>
            <c:idx val="0"/>
            <c:invertIfNegative val="1"/>
            <c:bubble3D val="0"/>
            <c:spPr>
              <a:solidFill>
                <a:schemeClr val="tx2"/>
              </a:solidFill>
              <a:ln>
                <a:solidFill>
                  <a:schemeClr val="tx2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8D6-4B38-B35C-8A5B13D9F2D3}"/>
              </c:ext>
            </c:extLst>
          </c:dPt>
          <c:dPt>
            <c:idx val="1"/>
            <c:invertIfNegative val="1"/>
            <c:bubble3D val="0"/>
            <c:spPr>
              <a:solidFill>
                <a:schemeClr val="tx2"/>
              </a:solidFill>
              <a:ln>
                <a:solidFill>
                  <a:schemeClr val="tx2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F8D6-4B38-B35C-8A5B13D9F2D3}"/>
              </c:ext>
            </c:extLst>
          </c:dPt>
          <c:dPt>
            <c:idx val="2"/>
            <c:invertIfNegative val="1"/>
            <c:bubble3D val="0"/>
            <c:spPr>
              <a:solidFill>
                <a:schemeClr val="tx2"/>
              </a:solidFill>
              <a:ln>
                <a:solidFill>
                  <a:schemeClr val="tx2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F8D6-4B38-B35C-8A5B13D9F2D3}"/>
              </c:ext>
            </c:extLst>
          </c:dPt>
          <c:dPt>
            <c:idx val="3"/>
            <c:invertIfNegative val="1"/>
            <c:bubble3D val="0"/>
            <c:spPr>
              <a:solidFill>
                <a:schemeClr val="tx2"/>
              </a:solidFill>
              <a:ln>
                <a:solidFill>
                  <a:schemeClr val="tx2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F8D6-4B38-B35C-8A5B13D9F2D3}"/>
              </c:ext>
            </c:extLst>
          </c:dPt>
          <c:dPt>
            <c:idx val="4"/>
            <c:invertIfNegative val="1"/>
            <c:bubble3D val="0"/>
            <c:spPr>
              <a:solidFill>
                <a:schemeClr val="tx2"/>
              </a:solidFill>
              <a:ln>
                <a:solidFill>
                  <a:schemeClr val="tx2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F8D6-4B38-B35C-8A5B13D9F2D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Filter_Data!$A$7:$A$11</c:f>
              <c:strCache>
                <c:ptCount val="5"/>
                <c:pt idx="0">
                  <c:v>Electronics</c:v>
                </c:pt>
                <c:pt idx="1">
                  <c:v>Furniture</c:v>
                </c:pt>
                <c:pt idx="2">
                  <c:v>Clothing</c:v>
                </c:pt>
                <c:pt idx="3">
                  <c:v>Food &amp; Beverage</c:v>
                </c:pt>
                <c:pt idx="4">
                  <c:v>Sports</c:v>
                </c:pt>
              </c:strCache>
            </c:strRef>
          </c:cat>
          <c:val>
            <c:numRef>
              <c:f>Filter_Data!$B$7:$B$11</c:f>
              <c:numCache>
                <c:formatCode>"$"#,##0</c:formatCode>
                <c:ptCount val="5"/>
                <c:pt idx="0">
                  <c:v>5133575.6899999948</c:v>
                </c:pt>
                <c:pt idx="1">
                  <c:v>5334491.2200000007</c:v>
                </c:pt>
                <c:pt idx="2">
                  <c:v>5375533.1799999997</c:v>
                </c:pt>
                <c:pt idx="3">
                  <c:v>5274335.3800000018</c:v>
                </c:pt>
                <c:pt idx="4">
                  <c:v>5062804.8400000026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chemeClr val="tx2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A-F8D6-4B38-B35C-8A5B13D9F2D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Category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Sales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spPr>
    <a:effectLst>
      <a:outerShdw blurRad="50800" dist="50800" dir="5400000" algn="ctr" rotWithShape="0">
        <a:schemeClr val="bg1"/>
      </a:outerShd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10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Filter_Data!$B$13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rgbClr val="1F497D"/>
            </a:solidFill>
            <a:ln>
              <a:solidFill>
                <a:schemeClr val="tx2"/>
              </a:solidFill>
              <a:prstDash val="solid"/>
            </a:ln>
          </c:spPr>
          <c:invertIfNegative val="1"/>
          <c:dPt>
            <c:idx val="0"/>
            <c:invertIfNegative val="1"/>
            <c:bubble3D val="0"/>
            <c:spPr>
              <a:solidFill>
                <a:schemeClr val="tx2"/>
              </a:solidFill>
              <a:ln>
                <a:solidFill>
                  <a:schemeClr val="tx2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A29-4DCA-B7D6-B82503C30DD1}"/>
              </c:ext>
            </c:extLst>
          </c:dPt>
          <c:dPt>
            <c:idx val="1"/>
            <c:invertIfNegative val="1"/>
            <c:bubble3D val="0"/>
            <c:spPr>
              <a:solidFill>
                <a:schemeClr val="tx2"/>
              </a:solidFill>
              <a:ln>
                <a:solidFill>
                  <a:schemeClr val="tx2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FA29-4DCA-B7D6-B82503C30DD1}"/>
              </c:ext>
            </c:extLst>
          </c:dPt>
          <c:dPt>
            <c:idx val="2"/>
            <c:invertIfNegative val="1"/>
            <c:bubble3D val="0"/>
            <c:spPr>
              <a:solidFill>
                <a:schemeClr val="tx2"/>
              </a:solidFill>
              <a:ln>
                <a:solidFill>
                  <a:schemeClr val="tx2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FA29-4DCA-B7D6-B82503C30DD1}"/>
              </c:ext>
            </c:extLst>
          </c:dPt>
          <c:dPt>
            <c:idx val="3"/>
            <c:invertIfNegative val="1"/>
            <c:bubble3D val="0"/>
            <c:spPr>
              <a:solidFill>
                <a:schemeClr val="tx2"/>
              </a:solidFill>
              <a:ln>
                <a:solidFill>
                  <a:schemeClr val="tx2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FA29-4DCA-B7D6-B82503C30DD1}"/>
              </c:ext>
            </c:extLst>
          </c:dPt>
          <c:cat>
            <c:strRef>
              <c:f>Filter_Data!$A$14:$A$17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Filter_Data!$B$14:$B$17</c:f>
              <c:numCache>
                <c:formatCode>"$"#,##0</c:formatCode>
                <c:ptCount val="4"/>
                <c:pt idx="0">
                  <c:v>6470595.3400000008</c:v>
                </c:pt>
                <c:pt idx="1">
                  <c:v>6631703.8599999994</c:v>
                </c:pt>
                <c:pt idx="2">
                  <c:v>6605705.370000002</c:v>
                </c:pt>
                <c:pt idx="3">
                  <c:v>6472735.7399999974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chemeClr val="tx2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FA29-4DCA-B7D6-B82503C3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Reagion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Sales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74082</xdr:colOff>
      <xdr:row>15</xdr:row>
      <xdr:rowOff>0</xdr:rowOff>
    </xdr:from>
    <xdr:to>
      <xdr:col>6</xdr:col>
      <xdr:colOff>665545</xdr:colOff>
      <xdr:row>32</xdr:row>
      <xdr:rowOff>19292</xdr:rowOff>
    </xdr:to>
    <xdr:graphicFrame macro="">
      <xdr:nvGraphicFramePr>
        <xdr:cNvPr id="2" name="chtYear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14817</xdr:colOff>
      <xdr:row>14</xdr:row>
      <xdr:rowOff>183266</xdr:rowOff>
    </xdr:from>
    <xdr:to>
      <xdr:col>6</xdr:col>
      <xdr:colOff>665544</xdr:colOff>
      <xdr:row>32</xdr:row>
      <xdr:rowOff>28936</xdr:rowOff>
    </xdr:to>
    <xdr:graphicFrame macro="">
      <xdr:nvGraphicFramePr>
        <xdr:cNvPr id="3" name="chtMonth" hidden="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10</xdr:col>
      <xdr:colOff>764764</xdr:colOff>
      <xdr:row>15</xdr:row>
      <xdr:rowOff>1</xdr:rowOff>
    </xdr:from>
    <xdr:ext cx="4241288" cy="330843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6</xdr:col>
      <xdr:colOff>725192</xdr:colOff>
      <xdr:row>15</xdr:row>
      <xdr:rowOff>1</xdr:rowOff>
    </xdr:from>
    <xdr:ext cx="4107238" cy="330843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921"/>
  <sheetViews>
    <sheetView workbookViewId="0">
      <pane ySplit="1" topLeftCell="A103" activePane="bottomLeft" state="frozen"/>
      <selection pane="bottomLeft" activeCell="J113" sqref="J113"/>
    </sheetView>
  </sheetViews>
  <sheetFormatPr defaultRowHeight="14.4" x14ac:dyDescent="0.3"/>
  <cols>
    <col min="1" max="1" width="12" customWidth="1"/>
    <col min="2" max="2" width="10" customWidth="1"/>
    <col min="3" max="3" width="18" customWidth="1"/>
    <col min="4" max="4" width="10" customWidth="1"/>
    <col min="5" max="7" width="14" style="17" customWidth="1"/>
  </cols>
  <sheetData>
    <row r="1" spans="1:7" x14ac:dyDescent="0.3">
      <c r="A1" s="1" t="s">
        <v>8</v>
      </c>
      <c r="B1" s="1" t="s">
        <v>9</v>
      </c>
      <c r="C1" s="1" t="s">
        <v>10</v>
      </c>
      <c r="D1" s="1" t="s">
        <v>11</v>
      </c>
      <c r="E1" s="16" t="s">
        <v>12</v>
      </c>
      <c r="F1" s="16" t="s">
        <v>13</v>
      </c>
      <c r="G1" s="16" t="s">
        <v>14</v>
      </c>
    </row>
    <row r="2" spans="1:7" x14ac:dyDescent="0.3">
      <c r="A2" t="s">
        <v>15</v>
      </c>
      <c r="B2" t="s">
        <v>16</v>
      </c>
      <c r="C2" t="s">
        <v>17</v>
      </c>
      <c r="D2" t="s">
        <v>18</v>
      </c>
      <c r="E2" s="17">
        <v>16706.82</v>
      </c>
      <c r="F2" s="17">
        <v>3120.0499999999988</v>
      </c>
      <c r="G2" s="17">
        <v>3120.05</v>
      </c>
    </row>
    <row r="3" spans="1:7" x14ac:dyDescent="0.3">
      <c r="A3" t="s">
        <v>15</v>
      </c>
      <c r="B3" t="s">
        <v>16</v>
      </c>
      <c r="C3" t="s">
        <v>17</v>
      </c>
      <c r="D3" t="s">
        <v>19</v>
      </c>
      <c r="E3" s="17">
        <v>8325.67</v>
      </c>
      <c r="F3" s="17">
        <v>2000.38</v>
      </c>
      <c r="G3" s="17">
        <v>2000.38</v>
      </c>
    </row>
    <row r="4" spans="1:7" x14ac:dyDescent="0.3">
      <c r="A4" t="s">
        <v>15</v>
      </c>
      <c r="B4" t="s">
        <v>16</v>
      </c>
      <c r="C4" t="s">
        <v>17</v>
      </c>
      <c r="D4" t="s">
        <v>20</v>
      </c>
      <c r="E4" s="17">
        <v>18938.84</v>
      </c>
      <c r="F4" s="17">
        <v>6869.2900000000009</v>
      </c>
      <c r="G4" s="17">
        <v>6869.29</v>
      </c>
    </row>
    <row r="5" spans="1:7" x14ac:dyDescent="0.3">
      <c r="A5" t="s">
        <v>15</v>
      </c>
      <c r="B5" t="s">
        <v>16</v>
      </c>
      <c r="C5" t="s">
        <v>17</v>
      </c>
      <c r="D5" t="s">
        <v>21</v>
      </c>
      <c r="E5" s="17">
        <v>22520.13</v>
      </c>
      <c r="F5" s="17">
        <v>4582.25</v>
      </c>
      <c r="G5" s="17">
        <v>4582.25</v>
      </c>
    </row>
    <row r="6" spans="1:7" x14ac:dyDescent="0.3">
      <c r="A6" t="s">
        <v>15</v>
      </c>
      <c r="B6" t="s">
        <v>16</v>
      </c>
      <c r="C6" t="s">
        <v>22</v>
      </c>
      <c r="D6" t="s">
        <v>18</v>
      </c>
      <c r="E6" s="17">
        <v>11704.2</v>
      </c>
      <c r="F6" s="17">
        <v>2200.92</v>
      </c>
      <c r="G6" s="17">
        <v>2200.92</v>
      </c>
    </row>
    <row r="7" spans="1:7" x14ac:dyDescent="0.3">
      <c r="A7" t="s">
        <v>15</v>
      </c>
      <c r="B7" t="s">
        <v>16</v>
      </c>
      <c r="C7" t="s">
        <v>22</v>
      </c>
      <c r="D7" t="s">
        <v>19</v>
      </c>
      <c r="E7" s="17">
        <v>7028.67</v>
      </c>
      <c r="F7" s="17">
        <v>2224.190000000001</v>
      </c>
      <c r="G7" s="17">
        <v>2224.19</v>
      </c>
    </row>
    <row r="8" spans="1:7" x14ac:dyDescent="0.3">
      <c r="A8" t="s">
        <v>15</v>
      </c>
      <c r="B8" t="s">
        <v>16</v>
      </c>
      <c r="C8" t="s">
        <v>22</v>
      </c>
      <c r="D8" t="s">
        <v>20</v>
      </c>
      <c r="E8" s="17">
        <v>2610.33</v>
      </c>
      <c r="F8" s="17">
        <v>610</v>
      </c>
      <c r="G8" s="17">
        <v>610</v>
      </c>
    </row>
    <row r="9" spans="1:7" x14ac:dyDescent="0.3">
      <c r="A9" t="s">
        <v>15</v>
      </c>
      <c r="B9" t="s">
        <v>16</v>
      </c>
      <c r="C9" t="s">
        <v>22</v>
      </c>
      <c r="D9" t="s">
        <v>21</v>
      </c>
      <c r="E9" s="17">
        <v>16947.34</v>
      </c>
      <c r="F9" s="17">
        <v>5544.0499999999993</v>
      </c>
      <c r="G9" s="17">
        <v>5544.05</v>
      </c>
    </row>
    <row r="10" spans="1:7" x14ac:dyDescent="0.3">
      <c r="A10" t="s">
        <v>15</v>
      </c>
      <c r="B10" t="s">
        <v>16</v>
      </c>
      <c r="C10" t="s">
        <v>23</v>
      </c>
      <c r="D10" t="s">
        <v>18</v>
      </c>
      <c r="E10" s="17">
        <v>7070.13</v>
      </c>
      <c r="F10" s="17">
        <v>2397.4899999999998</v>
      </c>
      <c r="G10" s="17">
        <v>2397.4899999999998</v>
      </c>
    </row>
    <row r="11" spans="1:7" x14ac:dyDescent="0.3">
      <c r="A11" t="s">
        <v>15</v>
      </c>
      <c r="B11" t="s">
        <v>16</v>
      </c>
      <c r="C11" t="s">
        <v>23</v>
      </c>
      <c r="D11" t="s">
        <v>19</v>
      </c>
      <c r="E11" s="17">
        <v>20616.900000000001</v>
      </c>
      <c r="F11" s="17">
        <v>3747.2200000000012</v>
      </c>
      <c r="G11" s="17">
        <v>3747.22</v>
      </c>
    </row>
    <row r="12" spans="1:7" x14ac:dyDescent="0.3">
      <c r="A12" t="s">
        <v>15</v>
      </c>
      <c r="B12" t="s">
        <v>16</v>
      </c>
      <c r="C12" t="s">
        <v>23</v>
      </c>
      <c r="D12" t="s">
        <v>20</v>
      </c>
      <c r="E12" s="17">
        <v>20533.84</v>
      </c>
      <c r="F12" s="17">
        <v>7566.67</v>
      </c>
      <c r="G12" s="17">
        <v>7566.67</v>
      </c>
    </row>
    <row r="13" spans="1:7" x14ac:dyDescent="0.3">
      <c r="A13" t="s">
        <v>15</v>
      </c>
      <c r="B13" t="s">
        <v>16</v>
      </c>
      <c r="C13" t="s">
        <v>23</v>
      </c>
      <c r="D13" t="s">
        <v>21</v>
      </c>
      <c r="E13" s="17">
        <v>9825.76</v>
      </c>
      <c r="F13" s="17">
        <v>2181.12</v>
      </c>
      <c r="G13" s="17">
        <v>2181.12</v>
      </c>
    </row>
    <row r="14" spans="1:7" x14ac:dyDescent="0.3">
      <c r="A14" t="s">
        <v>15</v>
      </c>
      <c r="B14" t="s">
        <v>16</v>
      </c>
      <c r="C14" t="s">
        <v>24</v>
      </c>
      <c r="D14" t="s">
        <v>18</v>
      </c>
      <c r="E14" s="17">
        <v>24015.9</v>
      </c>
      <c r="F14" s="17">
        <v>6505.4399999999987</v>
      </c>
      <c r="G14" s="17">
        <v>6505.44</v>
      </c>
    </row>
    <row r="15" spans="1:7" x14ac:dyDescent="0.3">
      <c r="A15" t="s">
        <v>15</v>
      </c>
      <c r="B15" t="s">
        <v>16</v>
      </c>
      <c r="C15" t="s">
        <v>24</v>
      </c>
      <c r="D15" t="s">
        <v>19</v>
      </c>
      <c r="E15" s="17">
        <v>4133.1499999999996</v>
      </c>
      <c r="F15" s="17">
        <v>851.90000000000009</v>
      </c>
      <c r="G15" s="17">
        <v>851.9</v>
      </c>
    </row>
    <row r="16" spans="1:7" x14ac:dyDescent="0.3">
      <c r="A16" t="s">
        <v>15</v>
      </c>
      <c r="B16" t="s">
        <v>16</v>
      </c>
      <c r="C16" t="s">
        <v>24</v>
      </c>
      <c r="D16" t="s">
        <v>20</v>
      </c>
      <c r="E16" s="17">
        <v>21492.37</v>
      </c>
      <c r="F16" s="17">
        <v>7372.01</v>
      </c>
      <c r="G16" s="17">
        <v>7372.01</v>
      </c>
    </row>
    <row r="17" spans="1:7" x14ac:dyDescent="0.3">
      <c r="A17" t="s">
        <v>15</v>
      </c>
      <c r="B17" t="s">
        <v>16</v>
      </c>
      <c r="C17" t="s">
        <v>24</v>
      </c>
      <c r="D17" t="s">
        <v>21</v>
      </c>
      <c r="E17" s="17">
        <v>20563.95</v>
      </c>
      <c r="F17" s="17">
        <v>7753.18</v>
      </c>
      <c r="G17" s="17">
        <v>7753.18</v>
      </c>
    </row>
    <row r="18" spans="1:7" x14ac:dyDescent="0.3">
      <c r="A18" t="s">
        <v>15</v>
      </c>
      <c r="B18" t="s">
        <v>16</v>
      </c>
      <c r="C18" t="s">
        <v>25</v>
      </c>
      <c r="D18" t="s">
        <v>18</v>
      </c>
      <c r="E18" s="17">
        <v>14333.25</v>
      </c>
      <c r="F18" s="17">
        <v>6345.92</v>
      </c>
      <c r="G18" s="17">
        <v>6345.92</v>
      </c>
    </row>
    <row r="19" spans="1:7" x14ac:dyDescent="0.3">
      <c r="A19" t="s">
        <v>15</v>
      </c>
      <c r="B19" t="s">
        <v>16</v>
      </c>
      <c r="C19" t="s">
        <v>25</v>
      </c>
      <c r="D19" t="s">
        <v>19</v>
      </c>
      <c r="E19" s="17">
        <v>10706.29</v>
      </c>
      <c r="F19" s="17">
        <v>3522.92</v>
      </c>
      <c r="G19" s="17">
        <v>3522.92</v>
      </c>
    </row>
    <row r="20" spans="1:7" x14ac:dyDescent="0.3">
      <c r="A20" t="s">
        <v>15</v>
      </c>
      <c r="B20" t="s">
        <v>16</v>
      </c>
      <c r="C20" t="s">
        <v>25</v>
      </c>
      <c r="D20" t="s">
        <v>20</v>
      </c>
      <c r="E20" s="17">
        <v>21076.31</v>
      </c>
      <c r="F20" s="17">
        <v>7313.49</v>
      </c>
      <c r="G20" s="17">
        <v>7313.49</v>
      </c>
    </row>
    <row r="21" spans="1:7" x14ac:dyDescent="0.3">
      <c r="A21" t="s">
        <v>15</v>
      </c>
      <c r="B21" t="s">
        <v>16</v>
      </c>
      <c r="C21" t="s">
        <v>25</v>
      </c>
      <c r="D21" t="s">
        <v>21</v>
      </c>
      <c r="E21" s="17">
        <v>21819.26</v>
      </c>
      <c r="F21" s="17">
        <v>7328.76</v>
      </c>
      <c r="G21" s="17">
        <v>7328.76</v>
      </c>
    </row>
    <row r="22" spans="1:7" x14ac:dyDescent="0.3">
      <c r="A22" t="s">
        <v>15</v>
      </c>
      <c r="B22" t="s">
        <v>26</v>
      </c>
      <c r="C22" t="s">
        <v>17</v>
      </c>
      <c r="D22" t="s">
        <v>18</v>
      </c>
      <c r="E22" s="17">
        <v>18205.150000000001</v>
      </c>
      <c r="F22" s="17">
        <v>3502.17</v>
      </c>
      <c r="G22" s="17">
        <v>3502.17</v>
      </c>
    </row>
    <row r="23" spans="1:7" x14ac:dyDescent="0.3">
      <c r="A23" t="s">
        <v>15</v>
      </c>
      <c r="B23" t="s">
        <v>26</v>
      </c>
      <c r="C23" t="s">
        <v>17</v>
      </c>
      <c r="D23" t="s">
        <v>19</v>
      </c>
      <c r="E23" s="17">
        <v>7241.66</v>
      </c>
      <c r="F23" s="17">
        <v>1869.32</v>
      </c>
      <c r="G23" s="17">
        <v>1869.32</v>
      </c>
    </row>
    <row r="24" spans="1:7" x14ac:dyDescent="0.3">
      <c r="A24" t="s">
        <v>15</v>
      </c>
      <c r="B24" t="s">
        <v>26</v>
      </c>
      <c r="C24" t="s">
        <v>17</v>
      </c>
      <c r="D24" t="s">
        <v>20</v>
      </c>
      <c r="E24" s="17">
        <v>3835.22</v>
      </c>
      <c r="F24" s="17">
        <v>931.40000000000009</v>
      </c>
      <c r="G24" s="17">
        <v>931.4</v>
      </c>
    </row>
    <row r="25" spans="1:7" x14ac:dyDescent="0.3">
      <c r="A25" t="s">
        <v>15</v>
      </c>
      <c r="B25" t="s">
        <v>26</v>
      </c>
      <c r="C25" t="s">
        <v>17</v>
      </c>
      <c r="D25" t="s">
        <v>21</v>
      </c>
      <c r="E25" s="17">
        <v>4323.03</v>
      </c>
      <c r="F25" s="17">
        <v>1102.5999999999999</v>
      </c>
      <c r="G25" s="17">
        <v>1102.5999999999999</v>
      </c>
    </row>
    <row r="26" spans="1:7" x14ac:dyDescent="0.3">
      <c r="A26" t="s">
        <v>15</v>
      </c>
      <c r="B26" t="s">
        <v>26</v>
      </c>
      <c r="C26" t="s">
        <v>22</v>
      </c>
      <c r="D26" t="s">
        <v>18</v>
      </c>
      <c r="E26" s="17">
        <v>16620.740000000002</v>
      </c>
      <c r="F26" s="17">
        <v>4628.9500000000007</v>
      </c>
      <c r="G26" s="17">
        <v>4628.95</v>
      </c>
    </row>
    <row r="27" spans="1:7" x14ac:dyDescent="0.3">
      <c r="A27" t="s">
        <v>15</v>
      </c>
      <c r="B27" t="s">
        <v>26</v>
      </c>
      <c r="C27" t="s">
        <v>22</v>
      </c>
      <c r="D27" t="s">
        <v>19</v>
      </c>
      <c r="E27" s="17">
        <v>10514.16</v>
      </c>
      <c r="F27" s="17">
        <v>2487.3000000000002</v>
      </c>
      <c r="G27" s="17">
        <v>2487.3000000000002</v>
      </c>
    </row>
    <row r="28" spans="1:7" x14ac:dyDescent="0.3">
      <c r="A28" t="s">
        <v>15</v>
      </c>
      <c r="B28" t="s">
        <v>26</v>
      </c>
      <c r="C28" t="s">
        <v>22</v>
      </c>
      <c r="D28" t="s">
        <v>20</v>
      </c>
      <c r="E28" s="17">
        <v>8140.49</v>
      </c>
      <c r="F28" s="17">
        <v>3523.99</v>
      </c>
      <c r="G28" s="17">
        <v>3523.99</v>
      </c>
    </row>
    <row r="29" spans="1:7" x14ac:dyDescent="0.3">
      <c r="A29" t="s">
        <v>15</v>
      </c>
      <c r="B29" t="s">
        <v>26</v>
      </c>
      <c r="C29" t="s">
        <v>22</v>
      </c>
      <c r="D29" t="s">
        <v>21</v>
      </c>
      <c r="E29" s="17">
        <v>16904.810000000001</v>
      </c>
      <c r="F29" s="17">
        <v>5823.119999999999</v>
      </c>
      <c r="G29" s="17">
        <v>5823.12</v>
      </c>
    </row>
    <row r="30" spans="1:7" x14ac:dyDescent="0.3">
      <c r="A30" t="s">
        <v>15</v>
      </c>
      <c r="B30" t="s">
        <v>26</v>
      </c>
      <c r="C30" t="s">
        <v>23</v>
      </c>
      <c r="D30" t="s">
        <v>18</v>
      </c>
      <c r="E30" s="17">
        <v>5936.19</v>
      </c>
      <c r="F30" s="17">
        <v>2237.14</v>
      </c>
      <c r="G30" s="17">
        <v>2237.14</v>
      </c>
    </row>
    <row r="31" spans="1:7" x14ac:dyDescent="0.3">
      <c r="A31" t="s">
        <v>15</v>
      </c>
      <c r="B31" t="s">
        <v>26</v>
      </c>
      <c r="C31" t="s">
        <v>23</v>
      </c>
      <c r="D31" t="s">
        <v>19</v>
      </c>
      <c r="E31" s="17">
        <v>5758.26</v>
      </c>
      <c r="F31" s="17">
        <v>1626.440000000001</v>
      </c>
      <c r="G31" s="17">
        <v>1626.44</v>
      </c>
    </row>
    <row r="32" spans="1:7" x14ac:dyDescent="0.3">
      <c r="A32" t="s">
        <v>15</v>
      </c>
      <c r="B32" t="s">
        <v>26</v>
      </c>
      <c r="C32" t="s">
        <v>23</v>
      </c>
      <c r="D32" t="s">
        <v>20</v>
      </c>
      <c r="E32" s="17">
        <v>24759.040000000001</v>
      </c>
      <c r="F32" s="17">
        <v>8734.99</v>
      </c>
      <c r="G32" s="17">
        <v>8734.99</v>
      </c>
    </row>
    <row r="33" spans="1:7" x14ac:dyDescent="0.3">
      <c r="A33" t="s">
        <v>15</v>
      </c>
      <c r="B33" t="s">
        <v>26</v>
      </c>
      <c r="C33" t="s">
        <v>23</v>
      </c>
      <c r="D33" t="s">
        <v>21</v>
      </c>
      <c r="E33" s="17">
        <v>14809.84</v>
      </c>
      <c r="F33" s="17">
        <v>5403.3100000000013</v>
      </c>
      <c r="G33" s="17">
        <v>5403.31</v>
      </c>
    </row>
    <row r="34" spans="1:7" x14ac:dyDescent="0.3">
      <c r="A34" t="s">
        <v>15</v>
      </c>
      <c r="B34" t="s">
        <v>26</v>
      </c>
      <c r="C34" t="s">
        <v>24</v>
      </c>
      <c r="D34" t="s">
        <v>18</v>
      </c>
      <c r="E34" s="17">
        <v>21385.59</v>
      </c>
      <c r="F34" s="17">
        <v>8330.11</v>
      </c>
      <c r="G34" s="17">
        <v>8330.11</v>
      </c>
    </row>
    <row r="35" spans="1:7" x14ac:dyDescent="0.3">
      <c r="A35" t="s">
        <v>15</v>
      </c>
      <c r="B35" t="s">
        <v>26</v>
      </c>
      <c r="C35" t="s">
        <v>24</v>
      </c>
      <c r="D35" t="s">
        <v>19</v>
      </c>
      <c r="E35" s="17">
        <v>7268.11</v>
      </c>
      <c r="F35" s="17">
        <v>1371.25</v>
      </c>
      <c r="G35" s="17">
        <v>1371.25</v>
      </c>
    </row>
    <row r="36" spans="1:7" x14ac:dyDescent="0.3">
      <c r="A36" t="s">
        <v>15</v>
      </c>
      <c r="B36" t="s">
        <v>26</v>
      </c>
      <c r="C36" t="s">
        <v>24</v>
      </c>
      <c r="D36" t="s">
        <v>20</v>
      </c>
      <c r="E36" s="17">
        <v>9255.42</v>
      </c>
      <c r="F36" s="17">
        <v>2335.0500000000002</v>
      </c>
      <c r="G36" s="17">
        <v>2335.0500000000002</v>
      </c>
    </row>
    <row r="37" spans="1:7" x14ac:dyDescent="0.3">
      <c r="A37" t="s">
        <v>15</v>
      </c>
      <c r="B37" t="s">
        <v>26</v>
      </c>
      <c r="C37" t="s">
        <v>24</v>
      </c>
      <c r="D37" t="s">
        <v>21</v>
      </c>
      <c r="E37" s="17">
        <v>6852.61</v>
      </c>
      <c r="F37" s="17">
        <v>2978.05</v>
      </c>
      <c r="G37" s="17">
        <v>2978.05</v>
      </c>
    </row>
    <row r="38" spans="1:7" x14ac:dyDescent="0.3">
      <c r="A38" t="s">
        <v>15</v>
      </c>
      <c r="B38" t="s">
        <v>26</v>
      </c>
      <c r="C38" t="s">
        <v>25</v>
      </c>
      <c r="D38" t="s">
        <v>18</v>
      </c>
      <c r="E38" s="17">
        <v>22156.46</v>
      </c>
      <c r="F38" s="17">
        <v>5870.6399999999994</v>
      </c>
      <c r="G38" s="17">
        <v>5870.64</v>
      </c>
    </row>
    <row r="39" spans="1:7" x14ac:dyDescent="0.3">
      <c r="A39" t="s">
        <v>15</v>
      </c>
      <c r="B39" t="s">
        <v>26</v>
      </c>
      <c r="C39" t="s">
        <v>25</v>
      </c>
      <c r="D39" t="s">
        <v>19</v>
      </c>
      <c r="E39" s="17">
        <v>17075.09</v>
      </c>
      <c r="F39" s="17">
        <v>4897.49</v>
      </c>
      <c r="G39" s="17">
        <v>4897.49</v>
      </c>
    </row>
    <row r="40" spans="1:7" x14ac:dyDescent="0.3">
      <c r="A40" t="s">
        <v>15</v>
      </c>
      <c r="B40" t="s">
        <v>26</v>
      </c>
      <c r="C40" t="s">
        <v>25</v>
      </c>
      <c r="D40" t="s">
        <v>20</v>
      </c>
      <c r="E40" s="17">
        <v>23034.59</v>
      </c>
      <c r="F40" s="17">
        <v>6999.98</v>
      </c>
      <c r="G40" s="17">
        <v>6999.98</v>
      </c>
    </row>
    <row r="41" spans="1:7" x14ac:dyDescent="0.3">
      <c r="A41" t="s">
        <v>15</v>
      </c>
      <c r="B41" t="s">
        <v>26</v>
      </c>
      <c r="C41" t="s">
        <v>25</v>
      </c>
      <c r="D41" t="s">
        <v>21</v>
      </c>
      <c r="E41" s="17">
        <v>8092.24</v>
      </c>
      <c r="F41" s="17">
        <v>1995.46</v>
      </c>
      <c r="G41" s="17">
        <v>1995.46</v>
      </c>
    </row>
    <row r="42" spans="1:7" x14ac:dyDescent="0.3">
      <c r="A42" t="s">
        <v>15</v>
      </c>
      <c r="B42" t="s">
        <v>27</v>
      </c>
      <c r="C42" t="s">
        <v>17</v>
      </c>
      <c r="D42" t="s">
        <v>18</v>
      </c>
      <c r="E42" s="17">
        <v>14911.47</v>
      </c>
      <c r="F42" s="17">
        <v>3741.889999999999</v>
      </c>
      <c r="G42" s="17">
        <v>3741.89</v>
      </c>
    </row>
    <row r="43" spans="1:7" x14ac:dyDescent="0.3">
      <c r="A43" t="s">
        <v>15</v>
      </c>
      <c r="B43" t="s">
        <v>27</v>
      </c>
      <c r="C43" t="s">
        <v>17</v>
      </c>
      <c r="D43" t="s">
        <v>19</v>
      </c>
      <c r="E43" s="17">
        <v>15445.48</v>
      </c>
      <c r="F43" s="17">
        <v>6524.3600000000006</v>
      </c>
      <c r="G43" s="17">
        <v>6524.36</v>
      </c>
    </row>
    <row r="44" spans="1:7" x14ac:dyDescent="0.3">
      <c r="A44" t="s">
        <v>15</v>
      </c>
      <c r="B44" t="s">
        <v>27</v>
      </c>
      <c r="C44" t="s">
        <v>17</v>
      </c>
      <c r="D44" t="s">
        <v>20</v>
      </c>
      <c r="E44" s="17">
        <v>11186.21</v>
      </c>
      <c r="F44" s="17">
        <v>2675.93</v>
      </c>
      <c r="G44" s="17">
        <v>2675.93</v>
      </c>
    </row>
    <row r="45" spans="1:7" x14ac:dyDescent="0.3">
      <c r="A45" t="s">
        <v>15</v>
      </c>
      <c r="B45" t="s">
        <v>27</v>
      </c>
      <c r="C45" t="s">
        <v>17</v>
      </c>
      <c r="D45" t="s">
        <v>21</v>
      </c>
      <c r="E45" s="17">
        <v>24943.360000000001</v>
      </c>
      <c r="F45" s="17">
        <v>7921.32</v>
      </c>
      <c r="G45" s="17">
        <v>7921.32</v>
      </c>
    </row>
    <row r="46" spans="1:7" x14ac:dyDescent="0.3">
      <c r="A46" t="s">
        <v>15</v>
      </c>
      <c r="B46" t="s">
        <v>27</v>
      </c>
      <c r="C46" t="s">
        <v>22</v>
      </c>
      <c r="D46" t="s">
        <v>18</v>
      </c>
      <c r="E46" s="17">
        <v>4090.92</v>
      </c>
      <c r="F46" s="17">
        <v>788.40999999999985</v>
      </c>
      <c r="G46" s="17">
        <v>788.41</v>
      </c>
    </row>
    <row r="47" spans="1:7" x14ac:dyDescent="0.3">
      <c r="A47" t="s">
        <v>15</v>
      </c>
      <c r="B47" t="s">
        <v>27</v>
      </c>
      <c r="C47" t="s">
        <v>22</v>
      </c>
      <c r="D47" t="s">
        <v>19</v>
      </c>
      <c r="E47" s="17">
        <v>4521.93</v>
      </c>
      <c r="F47" s="17">
        <v>1580.01</v>
      </c>
      <c r="G47" s="17">
        <v>1580.01</v>
      </c>
    </row>
    <row r="48" spans="1:7" x14ac:dyDescent="0.3">
      <c r="A48" t="s">
        <v>15</v>
      </c>
      <c r="B48" t="s">
        <v>27</v>
      </c>
      <c r="C48" t="s">
        <v>22</v>
      </c>
      <c r="D48" t="s">
        <v>20</v>
      </c>
      <c r="E48" s="17">
        <v>20217.830000000002</v>
      </c>
      <c r="F48" s="17">
        <v>5943.7000000000007</v>
      </c>
      <c r="G48" s="17">
        <v>5943.7</v>
      </c>
    </row>
    <row r="49" spans="1:7" x14ac:dyDescent="0.3">
      <c r="A49" t="s">
        <v>15</v>
      </c>
      <c r="B49" t="s">
        <v>27</v>
      </c>
      <c r="C49" t="s">
        <v>22</v>
      </c>
      <c r="D49" t="s">
        <v>21</v>
      </c>
      <c r="E49" s="17">
        <v>3461.14</v>
      </c>
      <c r="F49" s="17">
        <v>979.63000000000011</v>
      </c>
      <c r="G49" s="17">
        <v>979.63</v>
      </c>
    </row>
    <row r="50" spans="1:7" x14ac:dyDescent="0.3">
      <c r="A50" t="s">
        <v>15</v>
      </c>
      <c r="B50" t="s">
        <v>27</v>
      </c>
      <c r="C50" t="s">
        <v>23</v>
      </c>
      <c r="D50" t="s">
        <v>18</v>
      </c>
      <c r="E50" s="17">
        <v>24910.79</v>
      </c>
      <c r="F50" s="17">
        <v>8042.7200000000012</v>
      </c>
      <c r="G50" s="17">
        <v>8042.72</v>
      </c>
    </row>
    <row r="51" spans="1:7" x14ac:dyDescent="0.3">
      <c r="A51" t="s">
        <v>15</v>
      </c>
      <c r="B51" t="s">
        <v>27</v>
      </c>
      <c r="C51" t="s">
        <v>23</v>
      </c>
      <c r="D51" t="s">
        <v>19</v>
      </c>
      <c r="E51" s="17">
        <v>24334.799999999999</v>
      </c>
      <c r="F51" s="17">
        <v>10035.93</v>
      </c>
      <c r="G51" s="17">
        <v>10035.93</v>
      </c>
    </row>
    <row r="52" spans="1:7" x14ac:dyDescent="0.3">
      <c r="A52" t="s">
        <v>15</v>
      </c>
      <c r="B52" t="s">
        <v>27</v>
      </c>
      <c r="C52" t="s">
        <v>23</v>
      </c>
      <c r="D52" t="s">
        <v>20</v>
      </c>
      <c r="E52" s="17">
        <v>2264.06</v>
      </c>
      <c r="F52" s="17">
        <v>848.11000000000013</v>
      </c>
      <c r="G52" s="17">
        <v>848.11</v>
      </c>
    </row>
    <row r="53" spans="1:7" x14ac:dyDescent="0.3">
      <c r="A53" t="s">
        <v>15</v>
      </c>
      <c r="B53" t="s">
        <v>27</v>
      </c>
      <c r="C53" t="s">
        <v>23</v>
      </c>
      <c r="D53" t="s">
        <v>21</v>
      </c>
      <c r="E53" s="17">
        <v>17679.34</v>
      </c>
      <c r="F53" s="17">
        <v>5745.4700000000012</v>
      </c>
      <c r="G53" s="17">
        <v>5745.47</v>
      </c>
    </row>
    <row r="54" spans="1:7" x14ac:dyDescent="0.3">
      <c r="A54" t="s">
        <v>15</v>
      </c>
      <c r="B54" t="s">
        <v>27</v>
      </c>
      <c r="C54" t="s">
        <v>24</v>
      </c>
      <c r="D54" t="s">
        <v>18</v>
      </c>
      <c r="E54" s="17">
        <v>8136.98</v>
      </c>
      <c r="F54" s="17">
        <v>2872.84</v>
      </c>
      <c r="G54" s="17">
        <v>2872.84</v>
      </c>
    </row>
    <row r="55" spans="1:7" x14ac:dyDescent="0.3">
      <c r="A55" t="s">
        <v>15</v>
      </c>
      <c r="B55" t="s">
        <v>27</v>
      </c>
      <c r="C55" t="s">
        <v>24</v>
      </c>
      <c r="D55" t="s">
        <v>19</v>
      </c>
      <c r="E55" s="17">
        <v>4565.7</v>
      </c>
      <c r="F55" s="17">
        <v>1357.78</v>
      </c>
      <c r="G55" s="17">
        <v>1357.78</v>
      </c>
    </row>
    <row r="56" spans="1:7" x14ac:dyDescent="0.3">
      <c r="A56" t="s">
        <v>15</v>
      </c>
      <c r="B56" t="s">
        <v>27</v>
      </c>
      <c r="C56" t="s">
        <v>24</v>
      </c>
      <c r="D56" t="s">
        <v>20</v>
      </c>
      <c r="E56" s="17">
        <v>12435.65</v>
      </c>
      <c r="F56" s="17">
        <v>5440.97</v>
      </c>
      <c r="G56" s="17">
        <v>5440.97</v>
      </c>
    </row>
    <row r="57" spans="1:7" x14ac:dyDescent="0.3">
      <c r="A57" t="s">
        <v>15</v>
      </c>
      <c r="B57" t="s">
        <v>27</v>
      </c>
      <c r="C57" t="s">
        <v>24</v>
      </c>
      <c r="D57" t="s">
        <v>21</v>
      </c>
      <c r="E57" s="17">
        <v>22144.62</v>
      </c>
      <c r="F57" s="17">
        <v>5560.8500000000022</v>
      </c>
      <c r="G57" s="17">
        <v>5560.85</v>
      </c>
    </row>
    <row r="58" spans="1:7" x14ac:dyDescent="0.3">
      <c r="A58" t="s">
        <v>15</v>
      </c>
      <c r="B58" t="s">
        <v>27</v>
      </c>
      <c r="C58" t="s">
        <v>25</v>
      </c>
      <c r="D58" t="s">
        <v>18</v>
      </c>
      <c r="E58" s="17">
        <v>13513.48</v>
      </c>
      <c r="F58" s="17">
        <v>3084.26</v>
      </c>
      <c r="G58" s="17">
        <v>3084.26</v>
      </c>
    </row>
    <row r="59" spans="1:7" x14ac:dyDescent="0.3">
      <c r="A59" t="s">
        <v>15</v>
      </c>
      <c r="B59" t="s">
        <v>27</v>
      </c>
      <c r="C59" t="s">
        <v>25</v>
      </c>
      <c r="D59" t="s">
        <v>19</v>
      </c>
      <c r="E59" s="17">
        <v>22990.44</v>
      </c>
      <c r="F59" s="17">
        <v>9541.9500000000007</v>
      </c>
      <c r="G59" s="17">
        <v>9541.9500000000007</v>
      </c>
    </row>
    <row r="60" spans="1:7" x14ac:dyDescent="0.3">
      <c r="A60" t="s">
        <v>15</v>
      </c>
      <c r="B60" t="s">
        <v>27</v>
      </c>
      <c r="C60" t="s">
        <v>25</v>
      </c>
      <c r="D60" t="s">
        <v>20</v>
      </c>
      <c r="E60" s="17">
        <v>8864.23</v>
      </c>
      <c r="F60" s="17">
        <v>3124.79</v>
      </c>
      <c r="G60" s="17">
        <v>3124.79</v>
      </c>
    </row>
    <row r="61" spans="1:7" x14ac:dyDescent="0.3">
      <c r="A61" t="s">
        <v>15</v>
      </c>
      <c r="B61" t="s">
        <v>27</v>
      </c>
      <c r="C61" t="s">
        <v>25</v>
      </c>
      <c r="D61" t="s">
        <v>21</v>
      </c>
      <c r="E61" s="17">
        <v>16006.31</v>
      </c>
      <c r="F61" s="17">
        <v>3541.66</v>
      </c>
      <c r="G61" s="17">
        <v>3541.66</v>
      </c>
    </row>
    <row r="62" spans="1:7" x14ac:dyDescent="0.3">
      <c r="A62" t="s">
        <v>15</v>
      </c>
      <c r="B62" t="s">
        <v>28</v>
      </c>
      <c r="C62" t="s">
        <v>17</v>
      </c>
      <c r="D62" t="s">
        <v>18</v>
      </c>
      <c r="E62" s="17">
        <v>19537.75</v>
      </c>
      <c r="F62" s="17">
        <v>6362.119999999999</v>
      </c>
      <c r="G62" s="17">
        <v>6362.12</v>
      </c>
    </row>
    <row r="63" spans="1:7" x14ac:dyDescent="0.3">
      <c r="A63" t="s">
        <v>15</v>
      </c>
      <c r="B63" t="s">
        <v>28</v>
      </c>
      <c r="C63" t="s">
        <v>17</v>
      </c>
      <c r="D63" t="s">
        <v>19</v>
      </c>
      <c r="E63" s="17">
        <v>19908.41</v>
      </c>
      <c r="F63" s="17">
        <v>6434.3100000000013</v>
      </c>
      <c r="G63" s="17">
        <v>6434.31</v>
      </c>
    </row>
    <row r="64" spans="1:7" x14ac:dyDescent="0.3">
      <c r="A64" t="s">
        <v>15</v>
      </c>
      <c r="B64" t="s">
        <v>28</v>
      </c>
      <c r="C64" t="s">
        <v>17</v>
      </c>
      <c r="D64" t="s">
        <v>20</v>
      </c>
      <c r="E64" s="17">
        <v>2013.15</v>
      </c>
      <c r="F64" s="17">
        <v>538.55999999999995</v>
      </c>
      <c r="G64" s="17">
        <v>538.55999999999995</v>
      </c>
    </row>
    <row r="65" spans="1:7" x14ac:dyDescent="0.3">
      <c r="A65" t="s">
        <v>15</v>
      </c>
      <c r="B65" t="s">
        <v>28</v>
      </c>
      <c r="C65" t="s">
        <v>17</v>
      </c>
      <c r="D65" t="s">
        <v>21</v>
      </c>
      <c r="E65" s="17">
        <v>2447.9699999999998</v>
      </c>
      <c r="F65" s="17">
        <v>1054.72</v>
      </c>
      <c r="G65" s="17">
        <v>1054.72</v>
      </c>
    </row>
    <row r="66" spans="1:7" x14ac:dyDescent="0.3">
      <c r="A66" t="s">
        <v>15</v>
      </c>
      <c r="B66" t="s">
        <v>28</v>
      </c>
      <c r="C66" t="s">
        <v>22</v>
      </c>
      <c r="D66" t="s">
        <v>18</v>
      </c>
      <c r="E66" s="17">
        <v>22210.6</v>
      </c>
      <c r="F66" s="17">
        <v>8985.2900000000009</v>
      </c>
      <c r="G66" s="17">
        <v>8985.2900000000009</v>
      </c>
    </row>
    <row r="67" spans="1:7" x14ac:dyDescent="0.3">
      <c r="A67" t="s">
        <v>15</v>
      </c>
      <c r="B67" t="s">
        <v>28</v>
      </c>
      <c r="C67" t="s">
        <v>22</v>
      </c>
      <c r="D67" t="s">
        <v>19</v>
      </c>
      <c r="E67" s="17">
        <v>9072.82</v>
      </c>
      <c r="F67" s="17">
        <v>1775</v>
      </c>
      <c r="G67" s="17">
        <v>1775</v>
      </c>
    </row>
    <row r="68" spans="1:7" x14ac:dyDescent="0.3">
      <c r="A68" t="s">
        <v>15</v>
      </c>
      <c r="B68" t="s">
        <v>28</v>
      </c>
      <c r="C68" t="s">
        <v>22</v>
      </c>
      <c r="D68" t="s">
        <v>20</v>
      </c>
      <c r="E68" s="17">
        <v>22194.22</v>
      </c>
      <c r="F68" s="17">
        <v>9669.5</v>
      </c>
      <c r="G68" s="17">
        <v>9669.5</v>
      </c>
    </row>
    <row r="69" spans="1:7" x14ac:dyDescent="0.3">
      <c r="A69" t="s">
        <v>15</v>
      </c>
      <c r="B69" t="s">
        <v>28</v>
      </c>
      <c r="C69" t="s">
        <v>22</v>
      </c>
      <c r="D69" t="s">
        <v>21</v>
      </c>
      <c r="E69" s="17">
        <v>3970.03</v>
      </c>
      <c r="F69" s="17">
        <v>1235.54</v>
      </c>
      <c r="G69" s="17">
        <v>1235.54</v>
      </c>
    </row>
    <row r="70" spans="1:7" x14ac:dyDescent="0.3">
      <c r="A70" t="s">
        <v>15</v>
      </c>
      <c r="B70" t="s">
        <v>28</v>
      </c>
      <c r="C70" t="s">
        <v>23</v>
      </c>
      <c r="D70" t="s">
        <v>18</v>
      </c>
      <c r="E70" s="17">
        <v>3591.89</v>
      </c>
      <c r="F70" s="17">
        <v>1384.18</v>
      </c>
      <c r="G70" s="17">
        <v>1384.18</v>
      </c>
    </row>
    <row r="71" spans="1:7" x14ac:dyDescent="0.3">
      <c r="A71" t="s">
        <v>15</v>
      </c>
      <c r="B71" t="s">
        <v>28</v>
      </c>
      <c r="C71" t="s">
        <v>23</v>
      </c>
      <c r="D71" t="s">
        <v>19</v>
      </c>
      <c r="E71" s="17">
        <v>19614.189999999999</v>
      </c>
      <c r="F71" s="17">
        <v>4210.49</v>
      </c>
      <c r="G71" s="17">
        <v>4210.49</v>
      </c>
    </row>
    <row r="72" spans="1:7" x14ac:dyDescent="0.3">
      <c r="A72" t="s">
        <v>15</v>
      </c>
      <c r="B72" t="s">
        <v>28</v>
      </c>
      <c r="C72" t="s">
        <v>23</v>
      </c>
      <c r="D72" t="s">
        <v>20</v>
      </c>
      <c r="E72" s="17">
        <v>12931.49</v>
      </c>
      <c r="F72" s="17">
        <v>4247.3099999999986</v>
      </c>
      <c r="G72" s="17">
        <v>4247.3100000000004</v>
      </c>
    </row>
    <row r="73" spans="1:7" x14ac:dyDescent="0.3">
      <c r="A73" t="s">
        <v>15</v>
      </c>
      <c r="B73" t="s">
        <v>28</v>
      </c>
      <c r="C73" t="s">
        <v>23</v>
      </c>
      <c r="D73" t="s">
        <v>21</v>
      </c>
      <c r="E73" s="17">
        <v>8096.3</v>
      </c>
      <c r="F73" s="17">
        <v>3364.47</v>
      </c>
      <c r="G73" s="17">
        <v>3364.47</v>
      </c>
    </row>
    <row r="74" spans="1:7" x14ac:dyDescent="0.3">
      <c r="A74" t="s">
        <v>15</v>
      </c>
      <c r="B74" t="s">
        <v>28</v>
      </c>
      <c r="C74" t="s">
        <v>24</v>
      </c>
      <c r="D74" t="s">
        <v>18</v>
      </c>
      <c r="E74" s="17">
        <v>11732.17</v>
      </c>
      <c r="F74" s="17">
        <v>2782.6999999999989</v>
      </c>
      <c r="G74" s="17">
        <v>2782.7</v>
      </c>
    </row>
    <row r="75" spans="1:7" x14ac:dyDescent="0.3">
      <c r="A75" t="s">
        <v>15</v>
      </c>
      <c r="B75" t="s">
        <v>28</v>
      </c>
      <c r="C75" t="s">
        <v>24</v>
      </c>
      <c r="D75" t="s">
        <v>19</v>
      </c>
      <c r="E75" s="17">
        <v>14403.81</v>
      </c>
      <c r="F75" s="17">
        <v>5431.41</v>
      </c>
      <c r="G75" s="17">
        <v>5431.41</v>
      </c>
    </row>
    <row r="76" spans="1:7" x14ac:dyDescent="0.3">
      <c r="A76" t="s">
        <v>15</v>
      </c>
      <c r="B76" t="s">
        <v>28</v>
      </c>
      <c r="C76" t="s">
        <v>24</v>
      </c>
      <c r="D76" t="s">
        <v>20</v>
      </c>
      <c r="E76" s="17">
        <v>6626.47</v>
      </c>
      <c r="F76" s="17">
        <v>1750.47</v>
      </c>
      <c r="G76" s="17">
        <v>1750.47</v>
      </c>
    </row>
    <row r="77" spans="1:7" x14ac:dyDescent="0.3">
      <c r="A77" t="s">
        <v>15</v>
      </c>
      <c r="B77" t="s">
        <v>28</v>
      </c>
      <c r="C77" t="s">
        <v>24</v>
      </c>
      <c r="D77" t="s">
        <v>21</v>
      </c>
      <c r="E77" s="17">
        <v>24888.44</v>
      </c>
      <c r="F77" s="17">
        <v>8847.02</v>
      </c>
      <c r="G77" s="17">
        <v>8847.02</v>
      </c>
    </row>
    <row r="78" spans="1:7" x14ac:dyDescent="0.3">
      <c r="A78" t="s">
        <v>15</v>
      </c>
      <c r="B78" t="s">
        <v>28</v>
      </c>
      <c r="C78" t="s">
        <v>25</v>
      </c>
      <c r="D78" t="s">
        <v>18</v>
      </c>
      <c r="E78" s="17">
        <v>12076.3</v>
      </c>
      <c r="F78" s="17">
        <v>3861.34</v>
      </c>
      <c r="G78" s="17">
        <v>3861.34</v>
      </c>
    </row>
    <row r="79" spans="1:7" x14ac:dyDescent="0.3">
      <c r="A79" t="s">
        <v>15</v>
      </c>
      <c r="B79" t="s">
        <v>28</v>
      </c>
      <c r="C79" t="s">
        <v>25</v>
      </c>
      <c r="D79" t="s">
        <v>19</v>
      </c>
      <c r="E79" s="17">
        <v>4783.1000000000004</v>
      </c>
      <c r="F79" s="17">
        <v>1151.1400000000001</v>
      </c>
      <c r="G79" s="17">
        <v>1151.1400000000001</v>
      </c>
    </row>
    <row r="80" spans="1:7" x14ac:dyDescent="0.3">
      <c r="A80" t="s">
        <v>15</v>
      </c>
      <c r="B80" t="s">
        <v>28</v>
      </c>
      <c r="C80" t="s">
        <v>25</v>
      </c>
      <c r="D80" t="s">
        <v>20</v>
      </c>
      <c r="E80" s="17">
        <v>9775.9699999999993</v>
      </c>
      <c r="F80" s="17">
        <v>3312.52</v>
      </c>
      <c r="G80" s="17">
        <v>3312.52</v>
      </c>
    </row>
    <row r="81" spans="1:7" x14ac:dyDescent="0.3">
      <c r="A81" t="s">
        <v>15</v>
      </c>
      <c r="B81" t="s">
        <v>28</v>
      </c>
      <c r="C81" t="s">
        <v>25</v>
      </c>
      <c r="D81" t="s">
        <v>21</v>
      </c>
      <c r="E81" s="17">
        <v>7292.64</v>
      </c>
      <c r="F81" s="17">
        <v>1746.29</v>
      </c>
      <c r="G81" s="17">
        <v>1746.29</v>
      </c>
    </row>
    <row r="82" spans="1:7" x14ac:dyDescent="0.3">
      <c r="A82" t="s">
        <v>29</v>
      </c>
      <c r="B82" t="s">
        <v>16</v>
      </c>
      <c r="C82" t="s">
        <v>17</v>
      </c>
      <c r="D82" t="s">
        <v>18</v>
      </c>
      <c r="E82" s="17">
        <v>3632.84</v>
      </c>
      <c r="F82" s="17">
        <v>1272.94</v>
      </c>
      <c r="G82" s="17">
        <v>1272.94</v>
      </c>
    </row>
    <row r="83" spans="1:7" x14ac:dyDescent="0.3">
      <c r="A83" t="s">
        <v>29</v>
      </c>
      <c r="B83" t="s">
        <v>16</v>
      </c>
      <c r="C83" t="s">
        <v>17</v>
      </c>
      <c r="D83" t="s">
        <v>19</v>
      </c>
      <c r="E83" s="17">
        <v>7265.66</v>
      </c>
      <c r="F83" s="17">
        <v>3084.01</v>
      </c>
      <c r="G83" s="17">
        <v>3084.01</v>
      </c>
    </row>
    <row r="84" spans="1:7" x14ac:dyDescent="0.3">
      <c r="A84" t="s">
        <v>29</v>
      </c>
      <c r="B84" t="s">
        <v>16</v>
      </c>
      <c r="C84" t="s">
        <v>17</v>
      </c>
      <c r="D84" t="s">
        <v>20</v>
      </c>
      <c r="E84" s="17">
        <v>21771.61</v>
      </c>
      <c r="F84" s="17">
        <v>4335.41</v>
      </c>
      <c r="G84" s="17">
        <v>4335.41</v>
      </c>
    </row>
    <row r="85" spans="1:7" x14ac:dyDescent="0.3">
      <c r="A85" t="s">
        <v>29</v>
      </c>
      <c r="B85" t="s">
        <v>16</v>
      </c>
      <c r="C85" t="s">
        <v>17</v>
      </c>
      <c r="D85" t="s">
        <v>21</v>
      </c>
      <c r="E85" s="17">
        <v>7474.11</v>
      </c>
      <c r="F85" s="17">
        <v>2695.34</v>
      </c>
      <c r="G85" s="17">
        <v>2695.34</v>
      </c>
    </row>
    <row r="86" spans="1:7" x14ac:dyDescent="0.3">
      <c r="A86" t="s">
        <v>29</v>
      </c>
      <c r="B86" t="s">
        <v>16</v>
      </c>
      <c r="C86" t="s">
        <v>22</v>
      </c>
      <c r="D86" t="s">
        <v>18</v>
      </c>
      <c r="E86" s="17">
        <v>6927.45</v>
      </c>
      <c r="F86" s="17">
        <v>1494.42</v>
      </c>
      <c r="G86" s="17">
        <v>1494.42</v>
      </c>
    </row>
    <row r="87" spans="1:7" x14ac:dyDescent="0.3">
      <c r="A87" t="s">
        <v>29</v>
      </c>
      <c r="B87" t="s">
        <v>16</v>
      </c>
      <c r="C87" t="s">
        <v>22</v>
      </c>
      <c r="D87" t="s">
        <v>19</v>
      </c>
      <c r="E87" s="17">
        <v>23516.83</v>
      </c>
      <c r="F87" s="17">
        <v>7858.8899999999994</v>
      </c>
      <c r="G87" s="17">
        <v>7858.89</v>
      </c>
    </row>
    <row r="88" spans="1:7" x14ac:dyDescent="0.3">
      <c r="A88" t="s">
        <v>29</v>
      </c>
      <c r="B88" t="s">
        <v>16</v>
      </c>
      <c r="C88" t="s">
        <v>22</v>
      </c>
      <c r="D88" t="s">
        <v>20</v>
      </c>
      <c r="E88" s="17">
        <v>12871.43</v>
      </c>
      <c r="F88" s="17">
        <v>5043.63</v>
      </c>
      <c r="G88" s="17">
        <v>5043.63</v>
      </c>
    </row>
    <row r="89" spans="1:7" x14ac:dyDescent="0.3">
      <c r="A89" t="s">
        <v>29</v>
      </c>
      <c r="B89" t="s">
        <v>16</v>
      </c>
      <c r="C89" t="s">
        <v>22</v>
      </c>
      <c r="D89" t="s">
        <v>21</v>
      </c>
      <c r="E89" s="17">
        <v>20572.43</v>
      </c>
      <c r="F89" s="17">
        <v>4760.68</v>
      </c>
      <c r="G89" s="17">
        <v>4760.68</v>
      </c>
    </row>
    <row r="90" spans="1:7" x14ac:dyDescent="0.3">
      <c r="A90" t="s">
        <v>29</v>
      </c>
      <c r="B90" t="s">
        <v>16</v>
      </c>
      <c r="C90" t="s">
        <v>23</v>
      </c>
      <c r="D90" t="s">
        <v>18</v>
      </c>
      <c r="E90" s="17">
        <v>4229.41</v>
      </c>
      <c r="F90" s="17">
        <v>1253.53</v>
      </c>
      <c r="G90" s="17">
        <v>1253.53</v>
      </c>
    </row>
    <row r="91" spans="1:7" x14ac:dyDescent="0.3">
      <c r="A91" t="s">
        <v>29</v>
      </c>
      <c r="B91" t="s">
        <v>16</v>
      </c>
      <c r="C91" t="s">
        <v>23</v>
      </c>
      <c r="D91" t="s">
        <v>19</v>
      </c>
      <c r="E91" s="17">
        <v>11742.31</v>
      </c>
      <c r="F91" s="17">
        <v>3594.2800000000011</v>
      </c>
      <c r="G91" s="17">
        <v>3594.28</v>
      </c>
    </row>
    <row r="92" spans="1:7" x14ac:dyDescent="0.3">
      <c r="A92" t="s">
        <v>29</v>
      </c>
      <c r="B92" t="s">
        <v>16</v>
      </c>
      <c r="C92" t="s">
        <v>23</v>
      </c>
      <c r="D92" t="s">
        <v>20</v>
      </c>
      <c r="E92" s="17">
        <v>18768.740000000002</v>
      </c>
      <c r="F92" s="17">
        <v>6790.6899999999987</v>
      </c>
      <c r="G92" s="17">
        <v>6790.69</v>
      </c>
    </row>
    <row r="93" spans="1:7" x14ac:dyDescent="0.3">
      <c r="A93" t="s">
        <v>29</v>
      </c>
      <c r="B93" t="s">
        <v>16</v>
      </c>
      <c r="C93" t="s">
        <v>23</v>
      </c>
      <c r="D93" t="s">
        <v>21</v>
      </c>
      <c r="E93" s="17">
        <v>24635.8</v>
      </c>
      <c r="F93" s="17">
        <v>5089.09</v>
      </c>
      <c r="G93" s="17">
        <v>5089.09</v>
      </c>
    </row>
    <row r="94" spans="1:7" x14ac:dyDescent="0.3">
      <c r="A94" t="s">
        <v>29</v>
      </c>
      <c r="B94" t="s">
        <v>16</v>
      </c>
      <c r="C94" t="s">
        <v>24</v>
      </c>
      <c r="D94" t="s">
        <v>18</v>
      </c>
      <c r="E94" s="17">
        <v>11260.29</v>
      </c>
      <c r="F94" s="17">
        <v>3058.43</v>
      </c>
      <c r="G94" s="17">
        <v>3058.43</v>
      </c>
    </row>
    <row r="95" spans="1:7" x14ac:dyDescent="0.3">
      <c r="A95" t="s">
        <v>29</v>
      </c>
      <c r="B95" t="s">
        <v>16</v>
      </c>
      <c r="C95" t="s">
        <v>24</v>
      </c>
      <c r="D95" t="s">
        <v>19</v>
      </c>
      <c r="E95" s="17">
        <v>21818.47</v>
      </c>
      <c r="F95" s="17">
        <v>5392.16</v>
      </c>
      <c r="G95" s="17">
        <v>5392.16</v>
      </c>
    </row>
    <row r="96" spans="1:7" x14ac:dyDescent="0.3">
      <c r="A96" t="s">
        <v>29</v>
      </c>
      <c r="B96" t="s">
        <v>16</v>
      </c>
      <c r="C96" t="s">
        <v>24</v>
      </c>
      <c r="D96" t="s">
        <v>20</v>
      </c>
      <c r="E96" s="17">
        <v>6374.8</v>
      </c>
      <c r="F96" s="17">
        <v>1919.62</v>
      </c>
      <c r="G96" s="17">
        <v>1919.62</v>
      </c>
    </row>
    <row r="97" spans="1:7" x14ac:dyDescent="0.3">
      <c r="A97" t="s">
        <v>29</v>
      </c>
      <c r="B97" t="s">
        <v>16</v>
      </c>
      <c r="C97" t="s">
        <v>24</v>
      </c>
      <c r="D97" t="s">
        <v>21</v>
      </c>
      <c r="E97" s="17">
        <v>11703.28</v>
      </c>
      <c r="F97" s="17">
        <v>2986.76</v>
      </c>
      <c r="G97" s="17">
        <v>2986.76</v>
      </c>
    </row>
    <row r="98" spans="1:7" x14ac:dyDescent="0.3">
      <c r="A98" t="s">
        <v>29</v>
      </c>
      <c r="B98" t="s">
        <v>16</v>
      </c>
      <c r="C98" t="s">
        <v>25</v>
      </c>
      <c r="D98" t="s">
        <v>18</v>
      </c>
      <c r="E98" s="17">
        <v>7745.55</v>
      </c>
      <c r="F98" s="17">
        <v>3325.02</v>
      </c>
      <c r="G98" s="17">
        <v>3325.02</v>
      </c>
    </row>
    <row r="99" spans="1:7" x14ac:dyDescent="0.3">
      <c r="A99" t="s">
        <v>29</v>
      </c>
      <c r="B99" t="s">
        <v>16</v>
      </c>
      <c r="C99" t="s">
        <v>25</v>
      </c>
      <c r="D99" t="s">
        <v>19</v>
      </c>
      <c r="E99" s="17">
        <v>12192.01</v>
      </c>
      <c r="F99" s="17">
        <v>5029.99</v>
      </c>
      <c r="G99" s="17">
        <v>5029.99</v>
      </c>
    </row>
    <row r="100" spans="1:7" x14ac:dyDescent="0.3">
      <c r="A100" t="s">
        <v>29</v>
      </c>
      <c r="B100" t="s">
        <v>16</v>
      </c>
      <c r="C100" t="s">
        <v>25</v>
      </c>
      <c r="D100" t="s">
        <v>20</v>
      </c>
      <c r="E100" s="17">
        <v>14657.48</v>
      </c>
      <c r="F100" s="17">
        <v>2838.5499999999988</v>
      </c>
      <c r="G100" s="17">
        <v>2838.55</v>
      </c>
    </row>
    <row r="101" spans="1:7" x14ac:dyDescent="0.3">
      <c r="A101" t="s">
        <v>29</v>
      </c>
      <c r="B101" t="s">
        <v>16</v>
      </c>
      <c r="C101" t="s">
        <v>25</v>
      </c>
      <c r="D101" t="s">
        <v>21</v>
      </c>
      <c r="E101" s="17">
        <v>24983.5</v>
      </c>
      <c r="F101" s="17">
        <v>10136.49</v>
      </c>
      <c r="G101" s="17">
        <v>10136.49</v>
      </c>
    </row>
    <row r="102" spans="1:7" x14ac:dyDescent="0.3">
      <c r="A102" t="s">
        <v>29</v>
      </c>
      <c r="B102" t="s">
        <v>26</v>
      </c>
      <c r="C102" t="s">
        <v>17</v>
      </c>
      <c r="D102" t="s">
        <v>18</v>
      </c>
      <c r="E102" s="17">
        <v>24286.91</v>
      </c>
      <c r="F102" s="17">
        <v>10446.26</v>
      </c>
      <c r="G102" s="17">
        <v>10446.26</v>
      </c>
    </row>
    <row r="103" spans="1:7" x14ac:dyDescent="0.3">
      <c r="A103" t="s">
        <v>29</v>
      </c>
      <c r="B103" t="s">
        <v>26</v>
      </c>
      <c r="C103" t="s">
        <v>17</v>
      </c>
      <c r="D103" t="s">
        <v>19</v>
      </c>
      <c r="E103" s="17">
        <v>21520</v>
      </c>
      <c r="F103" s="17">
        <v>4839.93</v>
      </c>
      <c r="G103" s="17">
        <v>4839.93</v>
      </c>
    </row>
    <row r="104" spans="1:7" x14ac:dyDescent="0.3">
      <c r="A104" t="s">
        <v>29</v>
      </c>
      <c r="B104" t="s">
        <v>26</v>
      </c>
      <c r="C104" t="s">
        <v>17</v>
      </c>
      <c r="D104" t="s">
        <v>20</v>
      </c>
      <c r="E104" s="17">
        <v>13169.75</v>
      </c>
      <c r="F104" s="17">
        <v>3130.6</v>
      </c>
      <c r="G104" s="17">
        <v>3130.6</v>
      </c>
    </row>
    <row r="105" spans="1:7" x14ac:dyDescent="0.3">
      <c r="A105" t="s">
        <v>29</v>
      </c>
      <c r="B105" t="s">
        <v>26</v>
      </c>
      <c r="C105" t="s">
        <v>17</v>
      </c>
      <c r="D105" t="s">
        <v>21</v>
      </c>
      <c r="E105" s="17">
        <v>11223.93</v>
      </c>
      <c r="F105" s="17">
        <v>2198</v>
      </c>
      <c r="G105" s="17">
        <v>2198</v>
      </c>
    </row>
    <row r="106" spans="1:7" x14ac:dyDescent="0.3">
      <c r="A106" t="s">
        <v>29</v>
      </c>
      <c r="B106" t="s">
        <v>26</v>
      </c>
      <c r="C106" t="s">
        <v>22</v>
      </c>
      <c r="D106" t="s">
        <v>18</v>
      </c>
      <c r="E106" s="17">
        <v>10716.38</v>
      </c>
      <c r="F106" s="17">
        <v>4779.8599999999997</v>
      </c>
      <c r="G106" s="17">
        <v>4779.8599999999997</v>
      </c>
    </row>
    <row r="107" spans="1:7" x14ac:dyDescent="0.3">
      <c r="A107" t="s">
        <v>29</v>
      </c>
      <c r="B107" t="s">
        <v>26</v>
      </c>
      <c r="C107" t="s">
        <v>22</v>
      </c>
      <c r="D107" t="s">
        <v>19</v>
      </c>
      <c r="E107" s="17">
        <v>8099.67</v>
      </c>
      <c r="F107" s="17">
        <v>3172.63</v>
      </c>
      <c r="G107" s="17">
        <v>3172.63</v>
      </c>
    </row>
    <row r="108" spans="1:7" x14ac:dyDescent="0.3">
      <c r="A108" t="s">
        <v>29</v>
      </c>
      <c r="B108" t="s">
        <v>26</v>
      </c>
      <c r="C108" t="s">
        <v>22</v>
      </c>
      <c r="D108" t="s">
        <v>20</v>
      </c>
      <c r="E108" s="17">
        <v>12465.19</v>
      </c>
      <c r="F108" s="17">
        <v>3667.41</v>
      </c>
      <c r="G108" s="17">
        <v>3667.41</v>
      </c>
    </row>
    <row r="109" spans="1:7" x14ac:dyDescent="0.3">
      <c r="A109" t="s">
        <v>29</v>
      </c>
      <c r="B109" t="s">
        <v>26</v>
      </c>
      <c r="C109" t="s">
        <v>22</v>
      </c>
      <c r="D109" t="s">
        <v>21</v>
      </c>
      <c r="E109" s="17">
        <v>24018.31</v>
      </c>
      <c r="F109" s="17">
        <v>10778.56</v>
      </c>
      <c r="G109" s="17">
        <v>10778.56</v>
      </c>
    </row>
    <row r="110" spans="1:7" x14ac:dyDescent="0.3">
      <c r="A110" t="s">
        <v>29</v>
      </c>
      <c r="B110" t="s">
        <v>26</v>
      </c>
      <c r="C110" t="s">
        <v>23</v>
      </c>
      <c r="D110" t="s">
        <v>18</v>
      </c>
      <c r="E110" s="17">
        <v>14782.67</v>
      </c>
      <c r="F110" s="17">
        <v>5528.2800000000007</v>
      </c>
      <c r="G110" s="17">
        <v>5528.28</v>
      </c>
    </row>
    <row r="111" spans="1:7" x14ac:dyDescent="0.3">
      <c r="A111" t="s">
        <v>29</v>
      </c>
      <c r="B111" t="s">
        <v>26</v>
      </c>
      <c r="C111" t="s">
        <v>23</v>
      </c>
      <c r="D111" t="s">
        <v>19</v>
      </c>
      <c r="E111" s="17">
        <v>5560.33</v>
      </c>
      <c r="F111" s="17">
        <v>1446.3</v>
      </c>
      <c r="G111" s="17">
        <v>1446.3</v>
      </c>
    </row>
    <row r="112" spans="1:7" x14ac:dyDescent="0.3">
      <c r="A112" t="s">
        <v>29</v>
      </c>
      <c r="B112" t="s">
        <v>26</v>
      </c>
      <c r="C112" t="s">
        <v>23</v>
      </c>
      <c r="D112" t="s">
        <v>20</v>
      </c>
      <c r="E112" s="17">
        <v>24280.32</v>
      </c>
      <c r="F112" s="17">
        <v>8167.380000000001</v>
      </c>
      <c r="G112" s="17">
        <v>8167.38</v>
      </c>
    </row>
    <row r="113" spans="1:7" x14ac:dyDescent="0.3">
      <c r="A113" t="s">
        <v>29</v>
      </c>
      <c r="B113" t="s">
        <v>26</v>
      </c>
      <c r="C113" t="s">
        <v>23</v>
      </c>
      <c r="D113" t="s">
        <v>21</v>
      </c>
      <c r="E113" s="17">
        <v>14470.49</v>
      </c>
      <c r="F113" s="17">
        <v>5527.0500000000011</v>
      </c>
      <c r="G113" s="17">
        <v>5527.05</v>
      </c>
    </row>
    <row r="114" spans="1:7" x14ac:dyDescent="0.3">
      <c r="A114" t="s">
        <v>29</v>
      </c>
      <c r="B114" t="s">
        <v>26</v>
      </c>
      <c r="C114" t="s">
        <v>24</v>
      </c>
      <c r="D114" t="s">
        <v>18</v>
      </c>
      <c r="E114" s="17">
        <v>3314.8</v>
      </c>
      <c r="F114" s="17">
        <v>1119.5</v>
      </c>
      <c r="G114" s="17">
        <v>1119.5</v>
      </c>
    </row>
    <row r="115" spans="1:7" x14ac:dyDescent="0.3">
      <c r="A115" t="s">
        <v>29</v>
      </c>
      <c r="B115" t="s">
        <v>26</v>
      </c>
      <c r="C115" t="s">
        <v>24</v>
      </c>
      <c r="D115" t="s">
        <v>19</v>
      </c>
      <c r="E115" s="17">
        <v>13565.56</v>
      </c>
      <c r="F115" s="17">
        <v>5565.06</v>
      </c>
      <c r="G115" s="17">
        <v>5565.06</v>
      </c>
    </row>
    <row r="116" spans="1:7" x14ac:dyDescent="0.3">
      <c r="A116" t="s">
        <v>29</v>
      </c>
      <c r="B116" t="s">
        <v>26</v>
      </c>
      <c r="C116" t="s">
        <v>24</v>
      </c>
      <c r="D116" t="s">
        <v>20</v>
      </c>
      <c r="E116" s="17">
        <v>5620.95</v>
      </c>
      <c r="F116" s="17">
        <v>2469.9</v>
      </c>
      <c r="G116" s="17">
        <v>2469.9</v>
      </c>
    </row>
    <row r="117" spans="1:7" x14ac:dyDescent="0.3">
      <c r="A117" t="s">
        <v>29</v>
      </c>
      <c r="B117" t="s">
        <v>26</v>
      </c>
      <c r="C117" t="s">
        <v>24</v>
      </c>
      <c r="D117" t="s">
        <v>21</v>
      </c>
      <c r="E117" s="17">
        <v>3842.56</v>
      </c>
      <c r="F117" s="17">
        <v>884.45000000000027</v>
      </c>
      <c r="G117" s="17">
        <v>884.45</v>
      </c>
    </row>
    <row r="118" spans="1:7" x14ac:dyDescent="0.3">
      <c r="A118" t="s">
        <v>29</v>
      </c>
      <c r="B118" t="s">
        <v>26</v>
      </c>
      <c r="C118" t="s">
        <v>25</v>
      </c>
      <c r="D118" t="s">
        <v>18</v>
      </c>
      <c r="E118" s="17">
        <v>15685.81</v>
      </c>
      <c r="F118" s="17">
        <v>5683.08</v>
      </c>
      <c r="G118" s="17">
        <v>5683.08</v>
      </c>
    </row>
    <row r="119" spans="1:7" x14ac:dyDescent="0.3">
      <c r="A119" t="s">
        <v>29</v>
      </c>
      <c r="B119" t="s">
        <v>26</v>
      </c>
      <c r="C119" t="s">
        <v>25</v>
      </c>
      <c r="D119" t="s">
        <v>19</v>
      </c>
      <c r="E119" s="17">
        <v>7409.69</v>
      </c>
      <c r="F119" s="17">
        <v>1573.59</v>
      </c>
      <c r="G119" s="17">
        <v>1573.59</v>
      </c>
    </row>
    <row r="120" spans="1:7" x14ac:dyDescent="0.3">
      <c r="A120" t="s">
        <v>29</v>
      </c>
      <c r="B120" t="s">
        <v>26</v>
      </c>
      <c r="C120" t="s">
        <v>25</v>
      </c>
      <c r="D120" t="s">
        <v>20</v>
      </c>
      <c r="E120" s="17">
        <v>22476.61</v>
      </c>
      <c r="F120" s="17">
        <v>5539.989999999998</v>
      </c>
      <c r="G120" s="17">
        <v>5539.99</v>
      </c>
    </row>
    <row r="121" spans="1:7" x14ac:dyDescent="0.3">
      <c r="A121" t="s">
        <v>29</v>
      </c>
      <c r="B121" t="s">
        <v>26</v>
      </c>
      <c r="C121" t="s">
        <v>25</v>
      </c>
      <c r="D121" t="s">
        <v>21</v>
      </c>
      <c r="E121" s="17">
        <v>15673.94</v>
      </c>
      <c r="F121" s="17">
        <v>5442.51</v>
      </c>
      <c r="G121" s="17">
        <v>5442.51</v>
      </c>
    </row>
    <row r="122" spans="1:7" x14ac:dyDescent="0.3">
      <c r="A122" t="s">
        <v>29</v>
      </c>
      <c r="B122" t="s">
        <v>27</v>
      </c>
      <c r="C122" t="s">
        <v>17</v>
      </c>
      <c r="D122" t="s">
        <v>18</v>
      </c>
      <c r="E122" s="17">
        <v>11642.17</v>
      </c>
      <c r="F122" s="17">
        <v>3930.3</v>
      </c>
      <c r="G122" s="17">
        <v>3930.3</v>
      </c>
    </row>
    <row r="123" spans="1:7" x14ac:dyDescent="0.3">
      <c r="A123" t="s">
        <v>29</v>
      </c>
      <c r="B123" t="s">
        <v>27</v>
      </c>
      <c r="C123" t="s">
        <v>17</v>
      </c>
      <c r="D123" t="s">
        <v>19</v>
      </c>
      <c r="E123" s="17">
        <v>14024</v>
      </c>
      <c r="F123" s="17">
        <v>6063.57</v>
      </c>
      <c r="G123" s="17">
        <v>6063.57</v>
      </c>
    </row>
    <row r="124" spans="1:7" x14ac:dyDescent="0.3">
      <c r="A124" t="s">
        <v>29</v>
      </c>
      <c r="B124" t="s">
        <v>27</v>
      </c>
      <c r="C124" t="s">
        <v>17</v>
      </c>
      <c r="D124" t="s">
        <v>20</v>
      </c>
      <c r="E124" s="17">
        <v>6697.96</v>
      </c>
      <c r="F124" s="17">
        <v>2500.83</v>
      </c>
      <c r="G124" s="17">
        <v>2500.83</v>
      </c>
    </row>
    <row r="125" spans="1:7" x14ac:dyDescent="0.3">
      <c r="A125" t="s">
        <v>29</v>
      </c>
      <c r="B125" t="s">
        <v>27</v>
      </c>
      <c r="C125" t="s">
        <v>17</v>
      </c>
      <c r="D125" t="s">
        <v>21</v>
      </c>
      <c r="E125" s="17">
        <v>7489.78</v>
      </c>
      <c r="F125" s="17">
        <v>2148.5300000000002</v>
      </c>
      <c r="G125" s="17">
        <v>2148.5300000000002</v>
      </c>
    </row>
    <row r="126" spans="1:7" x14ac:dyDescent="0.3">
      <c r="A126" t="s">
        <v>29</v>
      </c>
      <c r="B126" t="s">
        <v>27</v>
      </c>
      <c r="C126" t="s">
        <v>22</v>
      </c>
      <c r="D126" t="s">
        <v>18</v>
      </c>
      <c r="E126" s="17">
        <v>17448.88</v>
      </c>
      <c r="F126" s="17">
        <v>4554.1399999999994</v>
      </c>
      <c r="G126" s="17">
        <v>4554.1400000000003</v>
      </c>
    </row>
    <row r="127" spans="1:7" x14ac:dyDescent="0.3">
      <c r="A127" t="s">
        <v>29</v>
      </c>
      <c r="B127" t="s">
        <v>27</v>
      </c>
      <c r="C127" t="s">
        <v>22</v>
      </c>
      <c r="D127" t="s">
        <v>19</v>
      </c>
      <c r="E127" s="17">
        <v>9272.08</v>
      </c>
      <c r="F127" s="17">
        <v>3551.24</v>
      </c>
      <c r="G127" s="17">
        <v>3551.24</v>
      </c>
    </row>
    <row r="128" spans="1:7" x14ac:dyDescent="0.3">
      <c r="A128" t="s">
        <v>29</v>
      </c>
      <c r="B128" t="s">
        <v>27</v>
      </c>
      <c r="C128" t="s">
        <v>22</v>
      </c>
      <c r="D128" t="s">
        <v>20</v>
      </c>
      <c r="E128" s="17">
        <v>3668.49</v>
      </c>
      <c r="F128" s="17">
        <v>1114.26</v>
      </c>
      <c r="G128" s="17">
        <v>1114.26</v>
      </c>
    </row>
    <row r="129" spans="1:7" x14ac:dyDescent="0.3">
      <c r="A129" t="s">
        <v>29</v>
      </c>
      <c r="B129" t="s">
        <v>27</v>
      </c>
      <c r="C129" t="s">
        <v>22</v>
      </c>
      <c r="D129" t="s">
        <v>21</v>
      </c>
      <c r="E129" s="17">
        <v>24964.45</v>
      </c>
      <c r="F129" s="17">
        <v>11207.69</v>
      </c>
      <c r="G129" s="17">
        <v>11207.69</v>
      </c>
    </row>
    <row r="130" spans="1:7" x14ac:dyDescent="0.3">
      <c r="A130" t="s">
        <v>29</v>
      </c>
      <c r="B130" t="s">
        <v>27</v>
      </c>
      <c r="C130" t="s">
        <v>23</v>
      </c>
      <c r="D130" t="s">
        <v>18</v>
      </c>
      <c r="E130" s="17">
        <v>3685</v>
      </c>
      <c r="F130" s="17">
        <v>875.38000000000011</v>
      </c>
      <c r="G130" s="17">
        <v>875.38</v>
      </c>
    </row>
    <row r="131" spans="1:7" x14ac:dyDescent="0.3">
      <c r="A131" t="s">
        <v>29</v>
      </c>
      <c r="B131" t="s">
        <v>27</v>
      </c>
      <c r="C131" t="s">
        <v>23</v>
      </c>
      <c r="D131" t="s">
        <v>19</v>
      </c>
      <c r="E131" s="17">
        <v>8099.61</v>
      </c>
      <c r="F131" s="17">
        <v>3498.87</v>
      </c>
      <c r="G131" s="17">
        <v>3498.87</v>
      </c>
    </row>
    <row r="132" spans="1:7" x14ac:dyDescent="0.3">
      <c r="A132" t="s">
        <v>29</v>
      </c>
      <c r="B132" t="s">
        <v>27</v>
      </c>
      <c r="C132" t="s">
        <v>23</v>
      </c>
      <c r="D132" t="s">
        <v>20</v>
      </c>
      <c r="E132" s="17">
        <v>22259.88</v>
      </c>
      <c r="F132" s="17">
        <v>9291.34</v>
      </c>
      <c r="G132" s="17">
        <v>9291.34</v>
      </c>
    </row>
    <row r="133" spans="1:7" x14ac:dyDescent="0.3">
      <c r="A133" t="s">
        <v>29</v>
      </c>
      <c r="B133" t="s">
        <v>27</v>
      </c>
      <c r="C133" t="s">
        <v>23</v>
      </c>
      <c r="D133" t="s">
        <v>21</v>
      </c>
      <c r="E133" s="17">
        <v>10499.12</v>
      </c>
      <c r="F133" s="17">
        <v>2337.02</v>
      </c>
      <c r="G133" s="17">
        <v>2337.02</v>
      </c>
    </row>
    <row r="134" spans="1:7" x14ac:dyDescent="0.3">
      <c r="A134" t="s">
        <v>29</v>
      </c>
      <c r="B134" t="s">
        <v>27</v>
      </c>
      <c r="C134" t="s">
        <v>24</v>
      </c>
      <c r="D134" t="s">
        <v>18</v>
      </c>
      <c r="E134" s="17">
        <v>21176.13</v>
      </c>
      <c r="F134" s="17">
        <v>7834.23</v>
      </c>
      <c r="G134" s="17">
        <v>7834.23</v>
      </c>
    </row>
    <row r="135" spans="1:7" x14ac:dyDescent="0.3">
      <c r="A135" t="s">
        <v>29</v>
      </c>
      <c r="B135" t="s">
        <v>27</v>
      </c>
      <c r="C135" t="s">
        <v>24</v>
      </c>
      <c r="D135" t="s">
        <v>19</v>
      </c>
      <c r="E135" s="17">
        <v>16068.59</v>
      </c>
      <c r="F135" s="17">
        <v>7175.48</v>
      </c>
      <c r="G135" s="17">
        <v>7175.48</v>
      </c>
    </row>
    <row r="136" spans="1:7" x14ac:dyDescent="0.3">
      <c r="A136" t="s">
        <v>29</v>
      </c>
      <c r="B136" t="s">
        <v>27</v>
      </c>
      <c r="C136" t="s">
        <v>24</v>
      </c>
      <c r="D136" t="s">
        <v>20</v>
      </c>
      <c r="E136" s="17">
        <v>17041.46</v>
      </c>
      <c r="F136" s="17">
        <v>3103.4599999999991</v>
      </c>
      <c r="G136" s="17">
        <v>3103.46</v>
      </c>
    </row>
    <row r="137" spans="1:7" x14ac:dyDescent="0.3">
      <c r="A137" t="s">
        <v>29</v>
      </c>
      <c r="B137" t="s">
        <v>27</v>
      </c>
      <c r="C137" t="s">
        <v>24</v>
      </c>
      <c r="D137" t="s">
        <v>21</v>
      </c>
      <c r="E137" s="17">
        <v>20793.400000000001</v>
      </c>
      <c r="F137" s="17">
        <v>5423.59</v>
      </c>
      <c r="G137" s="17">
        <v>5423.59</v>
      </c>
    </row>
    <row r="138" spans="1:7" x14ac:dyDescent="0.3">
      <c r="A138" t="s">
        <v>29</v>
      </c>
      <c r="B138" t="s">
        <v>27</v>
      </c>
      <c r="C138" t="s">
        <v>25</v>
      </c>
      <c r="D138" t="s">
        <v>18</v>
      </c>
      <c r="E138" s="17">
        <v>17257.939999999999</v>
      </c>
      <c r="F138" s="17">
        <v>7481.51</v>
      </c>
      <c r="G138" s="17">
        <v>7481.51</v>
      </c>
    </row>
    <row r="139" spans="1:7" x14ac:dyDescent="0.3">
      <c r="A139" t="s">
        <v>29</v>
      </c>
      <c r="B139" t="s">
        <v>27</v>
      </c>
      <c r="C139" t="s">
        <v>25</v>
      </c>
      <c r="D139" t="s">
        <v>19</v>
      </c>
      <c r="E139" s="17">
        <v>5088.7</v>
      </c>
      <c r="F139" s="17">
        <v>1074.56</v>
      </c>
      <c r="G139" s="17">
        <v>1074.56</v>
      </c>
    </row>
    <row r="140" spans="1:7" x14ac:dyDescent="0.3">
      <c r="A140" t="s">
        <v>29</v>
      </c>
      <c r="B140" t="s">
        <v>27</v>
      </c>
      <c r="C140" t="s">
        <v>25</v>
      </c>
      <c r="D140" t="s">
        <v>20</v>
      </c>
      <c r="E140" s="17">
        <v>4461.83</v>
      </c>
      <c r="F140" s="17">
        <v>1469.59</v>
      </c>
      <c r="G140" s="17">
        <v>1469.59</v>
      </c>
    </row>
    <row r="141" spans="1:7" x14ac:dyDescent="0.3">
      <c r="A141" t="s">
        <v>29</v>
      </c>
      <c r="B141" t="s">
        <v>27</v>
      </c>
      <c r="C141" t="s">
        <v>25</v>
      </c>
      <c r="D141" t="s">
        <v>21</v>
      </c>
      <c r="E141" s="17">
        <v>8264.01</v>
      </c>
      <c r="F141" s="17">
        <v>2837.07</v>
      </c>
      <c r="G141" s="17">
        <v>2837.07</v>
      </c>
    </row>
    <row r="142" spans="1:7" x14ac:dyDescent="0.3">
      <c r="A142" t="s">
        <v>29</v>
      </c>
      <c r="B142" t="s">
        <v>28</v>
      </c>
      <c r="C142" t="s">
        <v>17</v>
      </c>
      <c r="D142" t="s">
        <v>18</v>
      </c>
      <c r="E142" s="17">
        <v>18505.080000000002</v>
      </c>
      <c r="F142" s="17">
        <v>4348.16</v>
      </c>
      <c r="G142" s="17">
        <v>4348.16</v>
      </c>
    </row>
    <row r="143" spans="1:7" x14ac:dyDescent="0.3">
      <c r="A143" t="s">
        <v>29</v>
      </c>
      <c r="B143" t="s">
        <v>28</v>
      </c>
      <c r="C143" t="s">
        <v>17</v>
      </c>
      <c r="D143" t="s">
        <v>19</v>
      </c>
      <c r="E143" s="17">
        <v>16587.47</v>
      </c>
      <c r="F143" s="17">
        <v>4168.0299999999988</v>
      </c>
      <c r="G143" s="17">
        <v>4168.03</v>
      </c>
    </row>
    <row r="144" spans="1:7" x14ac:dyDescent="0.3">
      <c r="A144" t="s">
        <v>29</v>
      </c>
      <c r="B144" t="s">
        <v>28</v>
      </c>
      <c r="C144" t="s">
        <v>17</v>
      </c>
      <c r="D144" t="s">
        <v>20</v>
      </c>
      <c r="E144" s="17">
        <v>13236.23</v>
      </c>
      <c r="F144" s="17">
        <v>5618</v>
      </c>
      <c r="G144" s="17">
        <v>5618</v>
      </c>
    </row>
    <row r="145" spans="1:7" x14ac:dyDescent="0.3">
      <c r="A145" t="s">
        <v>29</v>
      </c>
      <c r="B145" t="s">
        <v>28</v>
      </c>
      <c r="C145" t="s">
        <v>17</v>
      </c>
      <c r="D145" t="s">
        <v>21</v>
      </c>
      <c r="E145" s="17">
        <v>21460.39</v>
      </c>
      <c r="F145" s="17">
        <v>4397.68</v>
      </c>
      <c r="G145" s="17">
        <v>4397.68</v>
      </c>
    </row>
    <row r="146" spans="1:7" x14ac:dyDescent="0.3">
      <c r="A146" t="s">
        <v>29</v>
      </c>
      <c r="B146" t="s">
        <v>28</v>
      </c>
      <c r="C146" t="s">
        <v>22</v>
      </c>
      <c r="D146" t="s">
        <v>18</v>
      </c>
      <c r="E146" s="17">
        <v>11742.24</v>
      </c>
      <c r="F146" s="17">
        <v>2990.7899999999991</v>
      </c>
      <c r="G146" s="17">
        <v>2990.79</v>
      </c>
    </row>
    <row r="147" spans="1:7" x14ac:dyDescent="0.3">
      <c r="A147" t="s">
        <v>29</v>
      </c>
      <c r="B147" t="s">
        <v>28</v>
      </c>
      <c r="C147" t="s">
        <v>22</v>
      </c>
      <c r="D147" t="s">
        <v>19</v>
      </c>
      <c r="E147" s="17">
        <v>2081.5500000000002</v>
      </c>
      <c r="F147" s="17">
        <v>808.06</v>
      </c>
      <c r="G147" s="17">
        <v>808.06</v>
      </c>
    </row>
    <row r="148" spans="1:7" x14ac:dyDescent="0.3">
      <c r="A148" t="s">
        <v>29</v>
      </c>
      <c r="B148" t="s">
        <v>28</v>
      </c>
      <c r="C148" t="s">
        <v>22</v>
      </c>
      <c r="D148" t="s">
        <v>20</v>
      </c>
      <c r="E148" s="17">
        <v>16653.61</v>
      </c>
      <c r="F148" s="17">
        <v>4175.5299999999988</v>
      </c>
      <c r="G148" s="17">
        <v>4175.53</v>
      </c>
    </row>
    <row r="149" spans="1:7" x14ac:dyDescent="0.3">
      <c r="A149" t="s">
        <v>29</v>
      </c>
      <c r="B149" t="s">
        <v>28</v>
      </c>
      <c r="C149" t="s">
        <v>22</v>
      </c>
      <c r="D149" t="s">
        <v>21</v>
      </c>
      <c r="E149" s="17">
        <v>19048.310000000001</v>
      </c>
      <c r="F149" s="17">
        <v>6266.01</v>
      </c>
      <c r="G149" s="17">
        <v>6266.01</v>
      </c>
    </row>
    <row r="150" spans="1:7" x14ac:dyDescent="0.3">
      <c r="A150" t="s">
        <v>29</v>
      </c>
      <c r="B150" t="s">
        <v>28</v>
      </c>
      <c r="C150" t="s">
        <v>23</v>
      </c>
      <c r="D150" t="s">
        <v>18</v>
      </c>
      <c r="E150" s="17">
        <v>11836.8</v>
      </c>
      <c r="F150" s="17">
        <v>2161.5300000000011</v>
      </c>
      <c r="G150" s="17">
        <v>2161.5300000000002</v>
      </c>
    </row>
    <row r="151" spans="1:7" x14ac:dyDescent="0.3">
      <c r="A151" t="s">
        <v>29</v>
      </c>
      <c r="B151" t="s">
        <v>28</v>
      </c>
      <c r="C151" t="s">
        <v>23</v>
      </c>
      <c r="D151" t="s">
        <v>19</v>
      </c>
      <c r="E151" s="17">
        <v>3730.61</v>
      </c>
      <c r="F151" s="17">
        <v>1561.03</v>
      </c>
      <c r="G151" s="17">
        <v>1561.03</v>
      </c>
    </row>
    <row r="152" spans="1:7" x14ac:dyDescent="0.3">
      <c r="A152" t="s">
        <v>29</v>
      </c>
      <c r="B152" t="s">
        <v>28</v>
      </c>
      <c r="C152" t="s">
        <v>23</v>
      </c>
      <c r="D152" t="s">
        <v>20</v>
      </c>
      <c r="E152" s="17">
        <v>22790.36</v>
      </c>
      <c r="F152" s="17">
        <v>7459.5</v>
      </c>
      <c r="G152" s="17">
        <v>7459.5</v>
      </c>
    </row>
    <row r="153" spans="1:7" x14ac:dyDescent="0.3">
      <c r="A153" t="s">
        <v>29</v>
      </c>
      <c r="B153" t="s">
        <v>28</v>
      </c>
      <c r="C153" t="s">
        <v>23</v>
      </c>
      <c r="D153" t="s">
        <v>21</v>
      </c>
      <c r="E153" s="17">
        <v>21195.69</v>
      </c>
      <c r="F153" s="17">
        <v>7148.83</v>
      </c>
      <c r="G153" s="17">
        <v>7148.83</v>
      </c>
    </row>
    <row r="154" spans="1:7" x14ac:dyDescent="0.3">
      <c r="A154" t="s">
        <v>29</v>
      </c>
      <c r="B154" t="s">
        <v>28</v>
      </c>
      <c r="C154" t="s">
        <v>24</v>
      </c>
      <c r="D154" t="s">
        <v>18</v>
      </c>
      <c r="E154" s="17">
        <v>5406.16</v>
      </c>
      <c r="F154" s="17">
        <v>1159.1400000000001</v>
      </c>
      <c r="G154" s="17">
        <v>1159.1400000000001</v>
      </c>
    </row>
    <row r="155" spans="1:7" x14ac:dyDescent="0.3">
      <c r="A155" t="s">
        <v>29</v>
      </c>
      <c r="B155" t="s">
        <v>28</v>
      </c>
      <c r="C155" t="s">
        <v>24</v>
      </c>
      <c r="D155" t="s">
        <v>19</v>
      </c>
      <c r="E155" s="17">
        <v>9089.94</v>
      </c>
      <c r="F155" s="17">
        <v>3842.54</v>
      </c>
      <c r="G155" s="17">
        <v>3842.54</v>
      </c>
    </row>
    <row r="156" spans="1:7" x14ac:dyDescent="0.3">
      <c r="A156" t="s">
        <v>29</v>
      </c>
      <c r="B156" t="s">
        <v>28</v>
      </c>
      <c r="C156" t="s">
        <v>24</v>
      </c>
      <c r="D156" t="s">
        <v>20</v>
      </c>
      <c r="E156" s="17">
        <v>20310.810000000001</v>
      </c>
      <c r="F156" s="17">
        <v>8375.9699999999993</v>
      </c>
      <c r="G156" s="17">
        <v>8375.9699999999993</v>
      </c>
    </row>
    <row r="157" spans="1:7" x14ac:dyDescent="0.3">
      <c r="A157" t="s">
        <v>29</v>
      </c>
      <c r="B157" t="s">
        <v>28</v>
      </c>
      <c r="C157" t="s">
        <v>24</v>
      </c>
      <c r="D157" t="s">
        <v>21</v>
      </c>
      <c r="E157" s="17">
        <v>22675.27</v>
      </c>
      <c r="F157" s="17">
        <v>5367.7099999999991</v>
      </c>
      <c r="G157" s="17">
        <v>5367.71</v>
      </c>
    </row>
    <row r="158" spans="1:7" x14ac:dyDescent="0.3">
      <c r="A158" t="s">
        <v>29</v>
      </c>
      <c r="B158" t="s">
        <v>28</v>
      </c>
      <c r="C158" t="s">
        <v>25</v>
      </c>
      <c r="D158" t="s">
        <v>18</v>
      </c>
      <c r="E158" s="17">
        <v>7739.18</v>
      </c>
      <c r="F158" s="17">
        <v>1607.85</v>
      </c>
      <c r="G158" s="17">
        <v>1607.85</v>
      </c>
    </row>
    <row r="159" spans="1:7" x14ac:dyDescent="0.3">
      <c r="A159" t="s">
        <v>29</v>
      </c>
      <c r="B159" t="s">
        <v>28</v>
      </c>
      <c r="C159" t="s">
        <v>25</v>
      </c>
      <c r="D159" t="s">
        <v>19</v>
      </c>
      <c r="E159" s="17">
        <v>19942.669999999998</v>
      </c>
      <c r="F159" s="17">
        <v>8350.32</v>
      </c>
      <c r="G159" s="17">
        <v>8350.32</v>
      </c>
    </row>
    <row r="160" spans="1:7" x14ac:dyDescent="0.3">
      <c r="A160" t="s">
        <v>29</v>
      </c>
      <c r="B160" t="s">
        <v>28</v>
      </c>
      <c r="C160" t="s">
        <v>25</v>
      </c>
      <c r="D160" t="s">
        <v>20</v>
      </c>
      <c r="E160" s="17">
        <v>11346.68</v>
      </c>
      <c r="F160" s="17">
        <v>3943.860000000001</v>
      </c>
      <c r="G160" s="17">
        <v>3943.86</v>
      </c>
    </row>
    <row r="161" spans="1:7" x14ac:dyDescent="0.3">
      <c r="A161" t="s">
        <v>29</v>
      </c>
      <c r="B161" t="s">
        <v>28</v>
      </c>
      <c r="C161" t="s">
        <v>25</v>
      </c>
      <c r="D161" t="s">
        <v>21</v>
      </c>
      <c r="E161" s="17">
        <v>5554.73</v>
      </c>
      <c r="F161" s="17">
        <v>2394.4699999999998</v>
      </c>
      <c r="G161" s="17">
        <v>2394.4699999999998</v>
      </c>
    </row>
    <row r="162" spans="1:7" x14ac:dyDescent="0.3">
      <c r="A162" t="s">
        <v>30</v>
      </c>
      <c r="B162" t="s">
        <v>16</v>
      </c>
      <c r="C162" t="s">
        <v>17</v>
      </c>
      <c r="D162" t="s">
        <v>18</v>
      </c>
      <c r="E162" s="17">
        <v>21885.93</v>
      </c>
      <c r="F162" s="17">
        <v>9708.07</v>
      </c>
      <c r="G162" s="17">
        <v>9708.07</v>
      </c>
    </row>
    <row r="163" spans="1:7" x14ac:dyDescent="0.3">
      <c r="A163" t="s">
        <v>30</v>
      </c>
      <c r="B163" t="s">
        <v>16</v>
      </c>
      <c r="C163" t="s">
        <v>17</v>
      </c>
      <c r="D163" t="s">
        <v>19</v>
      </c>
      <c r="E163" s="17">
        <v>20647.75</v>
      </c>
      <c r="F163" s="17">
        <v>8630.4</v>
      </c>
      <c r="G163" s="17">
        <v>8630.4</v>
      </c>
    </row>
    <row r="164" spans="1:7" x14ac:dyDescent="0.3">
      <c r="A164" t="s">
        <v>30</v>
      </c>
      <c r="B164" t="s">
        <v>16</v>
      </c>
      <c r="C164" t="s">
        <v>17</v>
      </c>
      <c r="D164" t="s">
        <v>20</v>
      </c>
      <c r="E164" s="17">
        <v>2570.09</v>
      </c>
      <c r="F164" s="17">
        <v>973.74</v>
      </c>
      <c r="G164" s="17">
        <v>973.74</v>
      </c>
    </row>
    <row r="165" spans="1:7" x14ac:dyDescent="0.3">
      <c r="A165" t="s">
        <v>30</v>
      </c>
      <c r="B165" t="s">
        <v>16</v>
      </c>
      <c r="C165" t="s">
        <v>17</v>
      </c>
      <c r="D165" t="s">
        <v>21</v>
      </c>
      <c r="E165" s="17">
        <v>9640.27</v>
      </c>
      <c r="F165" s="17">
        <v>4158.04</v>
      </c>
      <c r="G165" s="17">
        <v>4158.04</v>
      </c>
    </row>
    <row r="166" spans="1:7" x14ac:dyDescent="0.3">
      <c r="A166" t="s">
        <v>30</v>
      </c>
      <c r="B166" t="s">
        <v>16</v>
      </c>
      <c r="C166" t="s">
        <v>22</v>
      </c>
      <c r="D166" t="s">
        <v>18</v>
      </c>
      <c r="E166" s="17">
        <v>20451.41</v>
      </c>
      <c r="F166" s="17">
        <v>8452.51</v>
      </c>
      <c r="G166" s="17">
        <v>8452.51</v>
      </c>
    </row>
    <row r="167" spans="1:7" x14ac:dyDescent="0.3">
      <c r="A167" t="s">
        <v>30</v>
      </c>
      <c r="B167" t="s">
        <v>16</v>
      </c>
      <c r="C167" t="s">
        <v>22</v>
      </c>
      <c r="D167" t="s">
        <v>19</v>
      </c>
      <c r="E167" s="17">
        <v>20647.23</v>
      </c>
      <c r="F167" s="17">
        <v>5203.880000000001</v>
      </c>
      <c r="G167" s="17">
        <v>5203.88</v>
      </c>
    </row>
    <row r="168" spans="1:7" x14ac:dyDescent="0.3">
      <c r="A168" t="s">
        <v>30</v>
      </c>
      <c r="B168" t="s">
        <v>16</v>
      </c>
      <c r="C168" t="s">
        <v>22</v>
      </c>
      <c r="D168" t="s">
        <v>20</v>
      </c>
      <c r="E168" s="17">
        <v>20109.61</v>
      </c>
      <c r="F168" s="17">
        <v>4206.6499999999996</v>
      </c>
      <c r="G168" s="17">
        <v>4206.6499999999996</v>
      </c>
    </row>
    <row r="169" spans="1:7" x14ac:dyDescent="0.3">
      <c r="A169" t="s">
        <v>30</v>
      </c>
      <c r="B169" t="s">
        <v>16</v>
      </c>
      <c r="C169" t="s">
        <v>22</v>
      </c>
      <c r="D169" t="s">
        <v>21</v>
      </c>
      <c r="E169" s="17">
        <v>22059.84</v>
      </c>
      <c r="F169" s="17">
        <v>9084.69</v>
      </c>
      <c r="G169" s="17">
        <v>9084.69</v>
      </c>
    </row>
    <row r="170" spans="1:7" x14ac:dyDescent="0.3">
      <c r="A170" t="s">
        <v>30</v>
      </c>
      <c r="B170" t="s">
        <v>16</v>
      </c>
      <c r="C170" t="s">
        <v>23</v>
      </c>
      <c r="D170" t="s">
        <v>18</v>
      </c>
      <c r="E170" s="17">
        <v>7115.98</v>
      </c>
      <c r="F170" s="17">
        <v>2849.8</v>
      </c>
      <c r="G170" s="17">
        <v>2849.8</v>
      </c>
    </row>
    <row r="171" spans="1:7" x14ac:dyDescent="0.3">
      <c r="A171" t="s">
        <v>30</v>
      </c>
      <c r="B171" t="s">
        <v>16</v>
      </c>
      <c r="C171" t="s">
        <v>23</v>
      </c>
      <c r="D171" t="s">
        <v>19</v>
      </c>
      <c r="E171" s="17">
        <v>12586.97</v>
      </c>
      <c r="F171" s="17">
        <v>3302.84</v>
      </c>
      <c r="G171" s="17">
        <v>3302.84</v>
      </c>
    </row>
    <row r="172" spans="1:7" x14ac:dyDescent="0.3">
      <c r="A172" t="s">
        <v>30</v>
      </c>
      <c r="B172" t="s">
        <v>16</v>
      </c>
      <c r="C172" t="s">
        <v>23</v>
      </c>
      <c r="D172" t="s">
        <v>20</v>
      </c>
      <c r="E172" s="17">
        <v>20292.95</v>
      </c>
      <c r="F172" s="17">
        <v>4899.75</v>
      </c>
      <c r="G172" s="17">
        <v>4899.75</v>
      </c>
    </row>
    <row r="173" spans="1:7" x14ac:dyDescent="0.3">
      <c r="A173" t="s">
        <v>30</v>
      </c>
      <c r="B173" t="s">
        <v>16</v>
      </c>
      <c r="C173" t="s">
        <v>23</v>
      </c>
      <c r="D173" t="s">
        <v>21</v>
      </c>
      <c r="E173" s="17">
        <v>2544.2800000000002</v>
      </c>
      <c r="F173" s="17">
        <v>590.63999999999987</v>
      </c>
      <c r="G173" s="17">
        <v>590.64</v>
      </c>
    </row>
    <row r="174" spans="1:7" x14ac:dyDescent="0.3">
      <c r="A174" t="s">
        <v>30</v>
      </c>
      <c r="B174" t="s">
        <v>16</v>
      </c>
      <c r="C174" t="s">
        <v>24</v>
      </c>
      <c r="D174" t="s">
        <v>18</v>
      </c>
      <c r="E174" s="17">
        <v>9550.02</v>
      </c>
      <c r="F174" s="17">
        <v>3947.74</v>
      </c>
      <c r="G174" s="17">
        <v>3947.74</v>
      </c>
    </row>
    <row r="175" spans="1:7" x14ac:dyDescent="0.3">
      <c r="A175" t="s">
        <v>30</v>
      </c>
      <c r="B175" t="s">
        <v>16</v>
      </c>
      <c r="C175" t="s">
        <v>24</v>
      </c>
      <c r="D175" t="s">
        <v>19</v>
      </c>
      <c r="E175" s="17">
        <v>24238.45</v>
      </c>
      <c r="F175" s="17">
        <v>6189.619999999999</v>
      </c>
      <c r="G175" s="17">
        <v>6189.62</v>
      </c>
    </row>
    <row r="176" spans="1:7" x14ac:dyDescent="0.3">
      <c r="A176" t="s">
        <v>30</v>
      </c>
      <c r="B176" t="s">
        <v>16</v>
      </c>
      <c r="C176" t="s">
        <v>24</v>
      </c>
      <c r="D176" t="s">
        <v>20</v>
      </c>
      <c r="E176" s="17">
        <v>16754.080000000002</v>
      </c>
      <c r="F176" s="17">
        <v>4823.7200000000012</v>
      </c>
      <c r="G176" s="17">
        <v>4823.72</v>
      </c>
    </row>
    <row r="177" spans="1:7" x14ac:dyDescent="0.3">
      <c r="A177" t="s">
        <v>30</v>
      </c>
      <c r="B177" t="s">
        <v>16</v>
      </c>
      <c r="C177" t="s">
        <v>24</v>
      </c>
      <c r="D177" t="s">
        <v>21</v>
      </c>
      <c r="E177" s="17">
        <v>24566.44</v>
      </c>
      <c r="F177" s="17">
        <v>7978.6499999999978</v>
      </c>
      <c r="G177" s="17">
        <v>7978.65</v>
      </c>
    </row>
    <row r="178" spans="1:7" x14ac:dyDescent="0.3">
      <c r="A178" t="s">
        <v>30</v>
      </c>
      <c r="B178" t="s">
        <v>16</v>
      </c>
      <c r="C178" t="s">
        <v>25</v>
      </c>
      <c r="D178" t="s">
        <v>18</v>
      </c>
      <c r="E178" s="17">
        <v>23602.45</v>
      </c>
      <c r="F178" s="17">
        <v>4983.4700000000012</v>
      </c>
      <c r="G178" s="17">
        <v>4983.47</v>
      </c>
    </row>
    <row r="179" spans="1:7" x14ac:dyDescent="0.3">
      <c r="A179" t="s">
        <v>30</v>
      </c>
      <c r="B179" t="s">
        <v>16</v>
      </c>
      <c r="C179" t="s">
        <v>25</v>
      </c>
      <c r="D179" t="s">
        <v>19</v>
      </c>
      <c r="E179" s="17">
        <v>24319.21</v>
      </c>
      <c r="F179" s="17">
        <v>5549.9700000000012</v>
      </c>
      <c r="G179" s="17">
        <v>5549.97</v>
      </c>
    </row>
    <row r="180" spans="1:7" x14ac:dyDescent="0.3">
      <c r="A180" t="s">
        <v>30</v>
      </c>
      <c r="B180" t="s">
        <v>16</v>
      </c>
      <c r="C180" t="s">
        <v>25</v>
      </c>
      <c r="D180" t="s">
        <v>20</v>
      </c>
      <c r="E180" s="17">
        <v>24138.29</v>
      </c>
      <c r="F180" s="17">
        <v>6075.0299999999988</v>
      </c>
      <c r="G180" s="17">
        <v>6075.03</v>
      </c>
    </row>
    <row r="181" spans="1:7" x14ac:dyDescent="0.3">
      <c r="A181" t="s">
        <v>30</v>
      </c>
      <c r="B181" t="s">
        <v>16</v>
      </c>
      <c r="C181" t="s">
        <v>25</v>
      </c>
      <c r="D181" t="s">
        <v>21</v>
      </c>
      <c r="E181" s="17">
        <v>4493.26</v>
      </c>
      <c r="F181" s="17">
        <v>1335.99</v>
      </c>
      <c r="G181" s="17">
        <v>1335.99</v>
      </c>
    </row>
    <row r="182" spans="1:7" x14ac:dyDescent="0.3">
      <c r="A182" t="s">
        <v>30</v>
      </c>
      <c r="B182" t="s">
        <v>26</v>
      </c>
      <c r="C182" t="s">
        <v>17</v>
      </c>
      <c r="D182" t="s">
        <v>18</v>
      </c>
      <c r="E182" s="17">
        <v>18756.54</v>
      </c>
      <c r="F182" s="17">
        <v>4964.7200000000012</v>
      </c>
      <c r="G182" s="17">
        <v>4964.72</v>
      </c>
    </row>
    <row r="183" spans="1:7" x14ac:dyDescent="0.3">
      <c r="A183" t="s">
        <v>30</v>
      </c>
      <c r="B183" t="s">
        <v>26</v>
      </c>
      <c r="C183" t="s">
        <v>17</v>
      </c>
      <c r="D183" t="s">
        <v>19</v>
      </c>
      <c r="E183" s="17">
        <v>15942.8</v>
      </c>
      <c r="F183" s="17">
        <v>5071.1499999999996</v>
      </c>
      <c r="G183" s="17">
        <v>5071.1499999999996</v>
      </c>
    </row>
    <row r="184" spans="1:7" x14ac:dyDescent="0.3">
      <c r="A184" t="s">
        <v>30</v>
      </c>
      <c r="B184" t="s">
        <v>26</v>
      </c>
      <c r="C184" t="s">
        <v>17</v>
      </c>
      <c r="D184" t="s">
        <v>20</v>
      </c>
      <c r="E184" s="17">
        <v>10859.49</v>
      </c>
      <c r="F184" s="17">
        <v>3645.3</v>
      </c>
      <c r="G184" s="17">
        <v>3645.3</v>
      </c>
    </row>
    <row r="185" spans="1:7" x14ac:dyDescent="0.3">
      <c r="A185" t="s">
        <v>30</v>
      </c>
      <c r="B185" t="s">
        <v>26</v>
      </c>
      <c r="C185" t="s">
        <v>17</v>
      </c>
      <c r="D185" t="s">
        <v>21</v>
      </c>
      <c r="E185" s="17">
        <v>7858.62</v>
      </c>
      <c r="F185" s="17">
        <v>2918.47</v>
      </c>
      <c r="G185" s="17">
        <v>2918.47</v>
      </c>
    </row>
    <row r="186" spans="1:7" x14ac:dyDescent="0.3">
      <c r="A186" t="s">
        <v>30</v>
      </c>
      <c r="B186" t="s">
        <v>26</v>
      </c>
      <c r="C186" t="s">
        <v>22</v>
      </c>
      <c r="D186" t="s">
        <v>18</v>
      </c>
      <c r="E186" s="17">
        <v>2038.9</v>
      </c>
      <c r="F186" s="17">
        <v>876.53</v>
      </c>
      <c r="G186" s="17">
        <v>876.53</v>
      </c>
    </row>
    <row r="187" spans="1:7" x14ac:dyDescent="0.3">
      <c r="A187" t="s">
        <v>30</v>
      </c>
      <c r="B187" t="s">
        <v>26</v>
      </c>
      <c r="C187" t="s">
        <v>22</v>
      </c>
      <c r="D187" t="s">
        <v>19</v>
      </c>
      <c r="E187" s="17">
        <v>14384.4</v>
      </c>
      <c r="F187" s="17">
        <v>5383.3099999999986</v>
      </c>
      <c r="G187" s="17">
        <v>5383.31</v>
      </c>
    </row>
    <row r="188" spans="1:7" x14ac:dyDescent="0.3">
      <c r="A188" t="s">
        <v>30</v>
      </c>
      <c r="B188" t="s">
        <v>26</v>
      </c>
      <c r="C188" t="s">
        <v>22</v>
      </c>
      <c r="D188" t="s">
        <v>20</v>
      </c>
      <c r="E188" s="17">
        <v>19064.849999999999</v>
      </c>
      <c r="F188" s="17">
        <v>6883.74</v>
      </c>
      <c r="G188" s="17">
        <v>6883.74</v>
      </c>
    </row>
    <row r="189" spans="1:7" x14ac:dyDescent="0.3">
      <c r="A189" t="s">
        <v>30</v>
      </c>
      <c r="B189" t="s">
        <v>26</v>
      </c>
      <c r="C189" t="s">
        <v>22</v>
      </c>
      <c r="D189" t="s">
        <v>21</v>
      </c>
      <c r="E189" s="17">
        <v>10377.09</v>
      </c>
      <c r="F189" s="17">
        <v>2063.9299999999998</v>
      </c>
      <c r="G189" s="17">
        <v>2063.9299999999998</v>
      </c>
    </row>
    <row r="190" spans="1:7" x14ac:dyDescent="0.3">
      <c r="A190" t="s">
        <v>30</v>
      </c>
      <c r="B190" t="s">
        <v>26</v>
      </c>
      <c r="C190" t="s">
        <v>23</v>
      </c>
      <c r="D190" t="s">
        <v>18</v>
      </c>
      <c r="E190" s="17">
        <v>17277.47</v>
      </c>
      <c r="F190" s="17">
        <v>4650.2999999999993</v>
      </c>
      <c r="G190" s="17">
        <v>4650.3</v>
      </c>
    </row>
    <row r="191" spans="1:7" x14ac:dyDescent="0.3">
      <c r="A191" t="s">
        <v>30</v>
      </c>
      <c r="B191" t="s">
        <v>26</v>
      </c>
      <c r="C191" t="s">
        <v>23</v>
      </c>
      <c r="D191" t="s">
        <v>19</v>
      </c>
      <c r="E191" s="17">
        <v>9220.06</v>
      </c>
      <c r="F191" s="17">
        <v>3770.67</v>
      </c>
      <c r="G191" s="17">
        <v>3770.67</v>
      </c>
    </row>
    <row r="192" spans="1:7" x14ac:dyDescent="0.3">
      <c r="A192" t="s">
        <v>30</v>
      </c>
      <c r="B192" t="s">
        <v>26</v>
      </c>
      <c r="C192" t="s">
        <v>23</v>
      </c>
      <c r="D192" t="s">
        <v>20</v>
      </c>
      <c r="E192" s="17">
        <v>18554.349999999999</v>
      </c>
      <c r="F192" s="17">
        <v>4844.2999999999993</v>
      </c>
      <c r="G192" s="17">
        <v>4844.3</v>
      </c>
    </row>
    <row r="193" spans="1:7" x14ac:dyDescent="0.3">
      <c r="A193" t="s">
        <v>30</v>
      </c>
      <c r="B193" t="s">
        <v>26</v>
      </c>
      <c r="C193" t="s">
        <v>23</v>
      </c>
      <c r="D193" t="s">
        <v>21</v>
      </c>
      <c r="E193" s="17">
        <v>9113.5499999999993</v>
      </c>
      <c r="F193" s="17">
        <v>2645.35</v>
      </c>
      <c r="G193" s="17">
        <v>2645.35</v>
      </c>
    </row>
    <row r="194" spans="1:7" x14ac:dyDescent="0.3">
      <c r="A194" t="s">
        <v>30</v>
      </c>
      <c r="B194" t="s">
        <v>26</v>
      </c>
      <c r="C194" t="s">
        <v>24</v>
      </c>
      <c r="D194" t="s">
        <v>18</v>
      </c>
      <c r="E194" s="17">
        <v>11255.21</v>
      </c>
      <c r="F194" s="17">
        <v>2924.41</v>
      </c>
      <c r="G194" s="17">
        <v>2924.41</v>
      </c>
    </row>
    <row r="195" spans="1:7" x14ac:dyDescent="0.3">
      <c r="A195" t="s">
        <v>30</v>
      </c>
      <c r="B195" t="s">
        <v>26</v>
      </c>
      <c r="C195" t="s">
        <v>24</v>
      </c>
      <c r="D195" t="s">
        <v>19</v>
      </c>
      <c r="E195" s="17">
        <v>4927.62</v>
      </c>
      <c r="F195" s="17">
        <v>1446.36</v>
      </c>
      <c r="G195" s="17">
        <v>1446.36</v>
      </c>
    </row>
    <row r="196" spans="1:7" x14ac:dyDescent="0.3">
      <c r="A196" t="s">
        <v>30</v>
      </c>
      <c r="B196" t="s">
        <v>26</v>
      </c>
      <c r="C196" t="s">
        <v>24</v>
      </c>
      <c r="D196" t="s">
        <v>20</v>
      </c>
      <c r="E196" s="17">
        <v>23628.36</v>
      </c>
      <c r="F196" s="17">
        <v>8574.16</v>
      </c>
      <c r="G196" s="17">
        <v>8574.16</v>
      </c>
    </row>
    <row r="197" spans="1:7" x14ac:dyDescent="0.3">
      <c r="A197" t="s">
        <v>30</v>
      </c>
      <c r="B197" t="s">
        <v>26</v>
      </c>
      <c r="C197" t="s">
        <v>24</v>
      </c>
      <c r="D197" t="s">
        <v>21</v>
      </c>
      <c r="E197" s="17">
        <v>22764.53</v>
      </c>
      <c r="F197" s="17">
        <v>7880.83</v>
      </c>
      <c r="G197" s="17">
        <v>7880.83</v>
      </c>
    </row>
    <row r="198" spans="1:7" x14ac:dyDescent="0.3">
      <c r="A198" t="s">
        <v>30</v>
      </c>
      <c r="B198" t="s">
        <v>26</v>
      </c>
      <c r="C198" t="s">
        <v>25</v>
      </c>
      <c r="D198" t="s">
        <v>18</v>
      </c>
      <c r="E198" s="17">
        <v>8921.85</v>
      </c>
      <c r="F198" s="17">
        <v>2925.860000000001</v>
      </c>
      <c r="G198" s="17">
        <v>2925.86</v>
      </c>
    </row>
    <row r="199" spans="1:7" x14ac:dyDescent="0.3">
      <c r="A199" t="s">
        <v>30</v>
      </c>
      <c r="B199" t="s">
        <v>26</v>
      </c>
      <c r="C199" t="s">
        <v>25</v>
      </c>
      <c r="D199" t="s">
        <v>19</v>
      </c>
      <c r="E199" s="17">
        <v>2009.34</v>
      </c>
      <c r="F199" s="17">
        <v>517.33999999999992</v>
      </c>
      <c r="G199" s="17">
        <v>517.34</v>
      </c>
    </row>
    <row r="200" spans="1:7" x14ac:dyDescent="0.3">
      <c r="A200" t="s">
        <v>30</v>
      </c>
      <c r="B200" t="s">
        <v>26</v>
      </c>
      <c r="C200" t="s">
        <v>25</v>
      </c>
      <c r="D200" t="s">
        <v>20</v>
      </c>
      <c r="E200" s="17">
        <v>11887.43</v>
      </c>
      <c r="F200" s="17">
        <v>4001.26</v>
      </c>
      <c r="G200" s="17">
        <v>4001.26</v>
      </c>
    </row>
    <row r="201" spans="1:7" x14ac:dyDescent="0.3">
      <c r="A201" t="s">
        <v>30</v>
      </c>
      <c r="B201" t="s">
        <v>26</v>
      </c>
      <c r="C201" t="s">
        <v>25</v>
      </c>
      <c r="D201" t="s">
        <v>21</v>
      </c>
      <c r="E201" s="17">
        <v>17058.23</v>
      </c>
      <c r="F201" s="17">
        <v>5212.09</v>
      </c>
      <c r="G201" s="17">
        <v>5212.09</v>
      </c>
    </row>
    <row r="202" spans="1:7" x14ac:dyDescent="0.3">
      <c r="A202" t="s">
        <v>30</v>
      </c>
      <c r="B202" t="s">
        <v>27</v>
      </c>
      <c r="C202" t="s">
        <v>17</v>
      </c>
      <c r="D202" t="s">
        <v>18</v>
      </c>
      <c r="E202" s="17">
        <v>12169.68</v>
      </c>
      <c r="F202" s="17">
        <v>2892.73</v>
      </c>
      <c r="G202" s="17">
        <v>2892.73</v>
      </c>
    </row>
    <row r="203" spans="1:7" x14ac:dyDescent="0.3">
      <c r="A203" t="s">
        <v>30</v>
      </c>
      <c r="B203" t="s">
        <v>27</v>
      </c>
      <c r="C203" t="s">
        <v>17</v>
      </c>
      <c r="D203" t="s">
        <v>19</v>
      </c>
      <c r="E203" s="17">
        <v>12883.28</v>
      </c>
      <c r="F203" s="17">
        <v>5453.73</v>
      </c>
      <c r="G203" s="17">
        <v>5453.73</v>
      </c>
    </row>
    <row r="204" spans="1:7" x14ac:dyDescent="0.3">
      <c r="A204" t="s">
        <v>30</v>
      </c>
      <c r="B204" t="s">
        <v>27</v>
      </c>
      <c r="C204" t="s">
        <v>17</v>
      </c>
      <c r="D204" t="s">
        <v>20</v>
      </c>
      <c r="E204" s="17">
        <v>20308.57</v>
      </c>
      <c r="F204" s="17">
        <v>4586.01</v>
      </c>
      <c r="G204" s="17">
        <v>4586.01</v>
      </c>
    </row>
    <row r="205" spans="1:7" x14ac:dyDescent="0.3">
      <c r="A205" t="s">
        <v>30</v>
      </c>
      <c r="B205" t="s">
        <v>27</v>
      </c>
      <c r="C205" t="s">
        <v>17</v>
      </c>
      <c r="D205" t="s">
        <v>21</v>
      </c>
      <c r="E205" s="17">
        <v>3950.3</v>
      </c>
      <c r="F205" s="17">
        <v>1260.83</v>
      </c>
      <c r="G205" s="17">
        <v>1260.83</v>
      </c>
    </row>
    <row r="206" spans="1:7" x14ac:dyDescent="0.3">
      <c r="A206" t="s">
        <v>30</v>
      </c>
      <c r="B206" t="s">
        <v>27</v>
      </c>
      <c r="C206" t="s">
        <v>22</v>
      </c>
      <c r="D206" t="s">
        <v>18</v>
      </c>
      <c r="E206" s="17">
        <v>16557.64</v>
      </c>
      <c r="F206" s="17">
        <v>4478.8600000000006</v>
      </c>
      <c r="G206" s="17">
        <v>4478.8599999999997</v>
      </c>
    </row>
    <row r="207" spans="1:7" x14ac:dyDescent="0.3">
      <c r="A207" t="s">
        <v>30</v>
      </c>
      <c r="B207" t="s">
        <v>27</v>
      </c>
      <c r="C207" t="s">
        <v>22</v>
      </c>
      <c r="D207" t="s">
        <v>19</v>
      </c>
      <c r="E207" s="17">
        <v>20823.740000000002</v>
      </c>
      <c r="F207" s="17">
        <v>7971.48</v>
      </c>
      <c r="G207" s="17">
        <v>7971.48</v>
      </c>
    </row>
    <row r="208" spans="1:7" x14ac:dyDescent="0.3">
      <c r="A208" t="s">
        <v>30</v>
      </c>
      <c r="B208" t="s">
        <v>27</v>
      </c>
      <c r="C208" t="s">
        <v>22</v>
      </c>
      <c r="D208" t="s">
        <v>20</v>
      </c>
      <c r="E208" s="17">
        <v>17474.3</v>
      </c>
      <c r="F208" s="17">
        <v>4205.24</v>
      </c>
      <c r="G208" s="17">
        <v>4205.24</v>
      </c>
    </row>
    <row r="209" spans="1:7" x14ac:dyDescent="0.3">
      <c r="A209" t="s">
        <v>30</v>
      </c>
      <c r="B209" t="s">
        <v>27</v>
      </c>
      <c r="C209" t="s">
        <v>22</v>
      </c>
      <c r="D209" t="s">
        <v>21</v>
      </c>
      <c r="E209" s="17">
        <v>6579.99</v>
      </c>
      <c r="F209" s="17">
        <v>1227.79</v>
      </c>
      <c r="G209" s="17">
        <v>1227.79</v>
      </c>
    </row>
    <row r="210" spans="1:7" x14ac:dyDescent="0.3">
      <c r="A210" t="s">
        <v>30</v>
      </c>
      <c r="B210" t="s">
        <v>27</v>
      </c>
      <c r="C210" t="s">
        <v>23</v>
      </c>
      <c r="D210" t="s">
        <v>18</v>
      </c>
      <c r="E210" s="17">
        <v>7631.38</v>
      </c>
      <c r="F210" s="17">
        <v>2352.650000000001</v>
      </c>
      <c r="G210" s="17">
        <v>2352.65</v>
      </c>
    </row>
    <row r="211" spans="1:7" x14ac:dyDescent="0.3">
      <c r="A211" t="s">
        <v>30</v>
      </c>
      <c r="B211" t="s">
        <v>27</v>
      </c>
      <c r="C211" t="s">
        <v>23</v>
      </c>
      <c r="D211" t="s">
        <v>19</v>
      </c>
      <c r="E211" s="17">
        <v>21543.97</v>
      </c>
      <c r="F211" s="17">
        <v>4301.5499999999993</v>
      </c>
      <c r="G211" s="17">
        <v>4301.55</v>
      </c>
    </row>
    <row r="212" spans="1:7" x14ac:dyDescent="0.3">
      <c r="A212" t="s">
        <v>30</v>
      </c>
      <c r="B212" t="s">
        <v>27</v>
      </c>
      <c r="C212" t="s">
        <v>23</v>
      </c>
      <c r="D212" t="s">
        <v>20</v>
      </c>
      <c r="E212" s="17">
        <v>11532.14</v>
      </c>
      <c r="F212" s="17">
        <v>4036.67</v>
      </c>
      <c r="G212" s="17">
        <v>4036.67</v>
      </c>
    </row>
    <row r="213" spans="1:7" x14ac:dyDescent="0.3">
      <c r="A213" t="s">
        <v>30</v>
      </c>
      <c r="B213" t="s">
        <v>27</v>
      </c>
      <c r="C213" t="s">
        <v>23</v>
      </c>
      <c r="D213" t="s">
        <v>21</v>
      </c>
      <c r="E213" s="17">
        <v>6472.01</v>
      </c>
      <c r="F213" s="17">
        <v>2381.8000000000002</v>
      </c>
      <c r="G213" s="17">
        <v>2381.8000000000002</v>
      </c>
    </row>
    <row r="214" spans="1:7" x14ac:dyDescent="0.3">
      <c r="A214" t="s">
        <v>30</v>
      </c>
      <c r="B214" t="s">
        <v>27</v>
      </c>
      <c r="C214" t="s">
        <v>24</v>
      </c>
      <c r="D214" t="s">
        <v>18</v>
      </c>
      <c r="E214" s="17">
        <v>13370.67</v>
      </c>
      <c r="F214" s="17">
        <v>3287.52</v>
      </c>
      <c r="G214" s="17">
        <v>3287.52</v>
      </c>
    </row>
    <row r="215" spans="1:7" x14ac:dyDescent="0.3">
      <c r="A215" t="s">
        <v>30</v>
      </c>
      <c r="B215" t="s">
        <v>27</v>
      </c>
      <c r="C215" t="s">
        <v>24</v>
      </c>
      <c r="D215" t="s">
        <v>19</v>
      </c>
      <c r="E215" s="17">
        <v>17089.330000000002</v>
      </c>
      <c r="F215" s="17">
        <v>3101.66</v>
      </c>
      <c r="G215" s="17">
        <v>3101.66</v>
      </c>
    </row>
    <row r="216" spans="1:7" x14ac:dyDescent="0.3">
      <c r="A216" t="s">
        <v>30</v>
      </c>
      <c r="B216" t="s">
        <v>27</v>
      </c>
      <c r="C216" t="s">
        <v>24</v>
      </c>
      <c r="D216" t="s">
        <v>20</v>
      </c>
      <c r="E216" s="17">
        <v>19272.18</v>
      </c>
      <c r="F216" s="17">
        <v>7475.92</v>
      </c>
      <c r="G216" s="17">
        <v>7475.92</v>
      </c>
    </row>
    <row r="217" spans="1:7" x14ac:dyDescent="0.3">
      <c r="A217" t="s">
        <v>30</v>
      </c>
      <c r="B217" t="s">
        <v>27</v>
      </c>
      <c r="C217" t="s">
        <v>24</v>
      </c>
      <c r="D217" t="s">
        <v>21</v>
      </c>
      <c r="E217" s="17">
        <v>4451.51</v>
      </c>
      <c r="F217" s="17">
        <v>1312.26</v>
      </c>
      <c r="G217" s="17">
        <v>1312.26</v>
      </c>
    </row>
    <row r="218" spans="1:7" x14ac:dyDescent="0.3">
      <c r="A218" t="s">
        <v>30</v>
      </c>
      <c r="B218" t="s">
        <v>27</v>
      </c>
      <c r="C218" t="s">
        <v>25</v>
      </c>
      <c r="D218" t="s">
        <v>18</v>
      </c>
      <c r="E218" s="17">
        <v>6045.39</v>
      </c>
      <c r="F218" s="17">
        <v>2651.82</v>
      </c>
      <c r="G218" s="17">
        <v>2651.82</v>
      </c>
    </row>
    <row r="219" spans="1:7" x14ac:dyDescent="0.3">
      <c r="A219" t="s">
        <v>30</v>
      </c>
      <c r="B219" t="s">
        <v>27</v>
      </c>
      <c r="C219" t="s">
        <v>25</v>
      </c>
      <c r="D219" t="s">
        <v>19</v>
      </c>
      <c r="E219" s="17">
        <v>13913.03</v>
      </c>
      <c r="F219" s="17">
        <v>2692.99</v>
      </c>
      <c r="G219" s="17">
        <v>2692.99</v>
      </c>
    </row>
    <row r="220" spans="1:7" x14ac:dyDescent="0.3">
      <c r="A220" t="s">
        <v>30</v>
      </c>
      <c r="B220" t="s">
        <v>27</v>
      </c>
      <c r="C220" t="s">
        <v>25</v>
      </c>
      <c r="D220" t="s">
        <v>20</v>
      </c>
      <c r="E220" s="17">
        <v>7731.56</v>
      </c>
      <c r="F220" s="17">
        <v>3162.599999999999</v>
      </c>
      <c r="G220" s="17">
        <v>3162.6</v>
      </c>
    </row>
    <row r="221" spans="1:7" x14ac:dyDescent="0.3">
      <c r="A221" t="s">
        <v>30</v>
      </c>
      <c r="B221" t="s">
        <v>27</v>
      </c>
      <c r="C221" t="s">
        <v>25</v>
      </c>
      <c r="D221" t="s">
        <v>21</v>
      </c>
      <c r="E221" s="17">
        <v>12498.62</v>
      </c>
      <c r="F221" s="17">
        <v>4954.2299999999996</v>
      </c>
      <c r="G221" s="17">
        <v>4954.2299999999996</v>
      </c>
    </row>
    <row r="222" spans="1:7" x14ac:dyDescent="0.3">
      <c r="A222" t="s">
        <v>30</v>
      </c>
      <c r="B222" t="s">
        <v>28</v>
      </c>
      <c r="C222" t="s">
        <v>17</v>
      </c>
      <c r="D222" t="s">
        <v>18</v>
      </c>
      <c r="E222" s="17">
        <v>17354.29</v>
      </c>
      <c r="F222" s="17">
        <v>7752.7000000000007</v>
      </c>
      <c r="G222" s="17">
        <v>7752.7</v>
      </c>
    </row>
    <row r="223" spans="1:7" x14ac:dyDescent="0.3">
      <c r="A223" t="s">
        <v>30</v>
      </c>
      <c r="B223" t="s">
        <v>28</v>
      </c>
      <c r="C223" t="s">
        <v>17</v>
      </c>
      <c r="D223" t="s">
        <v>19</v>
      </c>
      <c r="E223" s="17">
        <v>15695.4</v>
      </c>
      <c r="F223" s="17">
        <v>6851.2100000000009</v>
      </c>
      <c r="G223" s="17">
        <v>6851.21</v>
      </c>
    </row>
    <row r="224" spans="1:7" x14ac:dyDescent="0.3">
      <c r="A224" t="s">
        <v>30</v>
      </c>
      <c r="B224" t="s">
        <v>28</v>
      </c>
      <c r="C224" t="s">
        <v>17</v>
      </c>
      <c r="D224" t="s">
        <v>20</v>
      </c>
      <c r="E224" s="17">
        <v>22502.799999999999</v>
      </c>
      <c r="F224" s="17">
        <v>7772.83</v>
      </c>
      <c r="G224" s="17">
        <v>7772.83</v>
      </c>
    </row>
    <row r="225" spans="1:7" x14ac:dyDescent="0.3">
      <c r="A225" t="s">
        <v>30</v>
      </c>
      <c r="B225" t="s">
        <v>28</v>
      </c>
      <c r="C225" t="s">
        <v>17</v>
      </c>
      <c r="D225" t="s">
        <v>21</v>
      </c>
      <c r="E225" s="17">
        <v>18543.3</v>
      </c>
      <c r="F225" s="17">
        <v>5865.0600000000013</v>
      </c>
      <c r="G225" s="17">
        <v>5865.06</v>
      </c>
    </row>
    <row r="226" spans="1:7" x14ac:dyDescent="0.3">
      <c r="A226" t="s">
        <v>30</v>
      </c>
      <c r="B226" t="s">
        <v>28</v>
      </c>
      <c r="C226" t="s">
        <v>22</v>
      </c>
      <c r="D226" t="s">
        <v>18</v>
      </c>
      <c r="E226" s="17">
        <v>21103.09</v>
      </c>
      <c r="F226" s="17">
        <v>6920.24</v>
      </c>
      <c r="G226" s="17">
        <v>6920.24</v>
      </c>
    </row>
    <row r="227" spans="1:7" x14ac:dyDescent="0.3">
      <c r="A227" t="s">
        <v>30</v>
      </c>
      <c r="B227" t="s">
        <v>28</v>
      </c>
      <c r="C227" t="s">
        <v>22</v>
      </c>
      <c r="D227" t="s">
        <v>19</v>
      </c>
      <c r="E227" s="17">
        <v>22635.79</v>
      </c>
      <c r="F227" s="17">
        <v>8619.41</v>
      </c>
      <c r="G227" s="17">
        <v>8619.41</v>
      </c>
    </row>
    <row r="228" spans="1:7" x14ac:dyDescent="0.3">
      <c r="A228" t="s">
        <v>30</v>
      </c>
      <c r="B228" t="s">
        <v>28</v>
      </c>
      <c r="C228" t="s">
        <v>22</v>
      </c>
      <c r="D228" t="s">
        <v>20</v>
      </c>
      <c r="E228" s="17">
        <v>12917.51</v>
      </c>
      <c r="F228" s="17">
        <v>3229.139999999999</v>
      </c>
      <c r="G228" s="17">
        <v>3229.14</v>
      </c>
    </row>
    <row r="229" spans="1:7" x14ac:dyDescent="0.3">
      <c r="A229" t="s">
        <v>30</v>
      </c>
      <c r="B229" t="s">
        <v>28</v>
      </c>
      <c r="C229" t="s">
        <v>22</v>
      </c>
      <c r="D229" t="s">
        <v>21</v>
      </c>
      <c r="E229" s="17">
        <v>7686.51</v>
      </c>
      <c r="F229" s="17">
        <v>2706.95</v>
      </c>
      <c r="G229" s="17">
        <v>2706.95</v>
      </c>
    </row>
    <row r="230" spans="1:7" x14ac:dyDescent="0.3">
      <c r="A230" t="s">
        <v>30</v>
      </c>
      <c r="B230" t="s">
        <v>28</v>
      </c>
      <c r="C230" t="s">
        <v>23</v>
      </c>
      <c r="D230" t="s">
        <v>18</v>
      </c>
      <c r="E230" s="17">
        <v>19613.71</v>
      </c>
      <c r="F230" s="17">
        <v>6291.119999999999</v>
      </c>
      <c r="G230" s="17">
        <v>6291.12</v>
      </c>
    </row>
    <row r="231" spans="1:7" x14ac:dyDescent="0.3">
      <c r="A231" t="s">
        <v>30</v>
      </c>
      <c r="B231" t="s">
        <v>28</v>
      </c>
      <c r="C231" t="s">
        <v>23</v>
      </c>
      <c r="D231" t="s">
        <v>19</v>
      </c>
      <c r="E231" s="17">
        <v>16415.21</v>
      </c>
      <c r="F231" s="17">
        <v>4171.7799999999988</v>
      </c>
      <c r="G231" s="17">
        <v>4171.78</v>
      </c>
    </row>
    <row r="232" spans="1:7" x14ac:dyDescent="0.3">
      <c r="A232" t="s">
        <v>30</v>
      </c>
      <c r="B232" t="s">
        <v>28</v>
      </c>
      <c r="C232" t="s">
        <v>23</v>
      </c>
      <c r="D232" t="s">
        <v>20</v>
      </c>
      <c r="E232" s="17">
        <v>3782.12</v>
      </c>
      <c r="F232" s="17">
        <v>972.56</v>
      </c>
      <c r="G232" s="17">
        <v>972.56</v>
      </c>
    </row>
    <row r="233" spans="1:7" x14ac:dyDescent="0.3">
      <c r="A233" t="s">
        <v>30</v>
      </c>
      <c r="B233" t="s">
        <v>28</v>
      </c>
      <c r="C233" t="s">
        <v>23</v>
      </c>
      <c r="D233" t="s">
        <v>21</v>
      </c>
      <c r="E233" s="17">
        <v>8249.4500000000007</v>
      </c>
      <c r="F233" s="17">
        <v>2197.0100000000002</v>
      </c>
      <c r="G233" s="17">
        <v>2197.0100000000002</v>
      </c>
    </row>
    <row r="234" spans="1:7" x14ac:dyDescent="0.3">
      <c r="A234" t="s">
        <v>30</v>
      </c>
      <c r="B234" t="s">
        <v>28</v>
      </c>
      <c r="C234" t="s">
        <v>24</v>
      </c>
      <c r="D234" t="s">
        <v>18</v>
      </c>
      <c r="E234" s="17">
        <v>14423.5</v>
      </c>
      <c r="F234" s="17">
        <v>3135.110000000001</v>
      </c>
      <c r="G234" s="17">
        <v>3135.11</v>
      </c>
    </row>
    <row r="235" spans="1:7" x14ac:dyDescent="0.3">
      <c r="A235" t="s">
        <v>30</v>
      </c>
      <c r="B235" t="s">
        <v>28</v>
      </c>
      <c r="C235" t="s">
        <v>24</v>
      </c>
      <c r="D235" t="s">
        <v>19</v>
      </c>
      <c r="E235" s="17">
        <v>7319.01</v>
      </c>
      <c r="F235" s="17">
        <v>2688.76</v>
      </c>
      <c r="G235" s="17">
        <v>2688.76</v>
      </c>
    </row>
    <row r="236" spans="1:7" x14ac:dyDescent="0.3">
      <c r="A236" t="s">
        <v>30</v>
      </c>
      <c r="B236" t="s">
        <v>28</v>
      </c>
      <c r="C236" t="s">
        <v>24</v>
      </c>
      <c r="D236" t="s">
        <v>20</v>
      </c>
      <c r="E236" s="17">
        <v>18247.64</v>
      </c>
      <c r="F236" s="17">
        <v>3601.02</v>
      </c>
      <c r="G236" s="17">
        <v>3601.02</v>
      </c>
    </row>
    <row r="237" spans="1:7" x14ac:dyDescent="0.3">
      <c r="A237" t="s">
        <v>30</v>
      </c>
      <c r="B237" t="s">
        <v>28</v>
      </c>
      <c r="C237" t="s">
        <v>24</v>
      </c>
      <c r="D237" t="s">
        <v>21</v>
      </c>
      <c r="E237" s="17">
        <v>11374.79</v>
      </c>
      <c r="F237" s="17">
        <v>3713.93</v>
      </c>
      <c r="G237" s="17">
        <v>3713.93</v>
      </c>
    </row>
    <row r="238" spans="1:7" x14ac:dyDescent="0.3">
      <c r="A238" t="s">
        <v>30</v>
      </c>
      <c r="B238" t="s">
        <v>28</v>
      </c>
      <c r="C238" t="s">
        <v>25</v>
      </c>
      <c r="D238" t="s">
        <v>18</v>
      </c>
      <c r="E238" s="17">
        <v>11562.81</v>
      </c>
      <c r="F238" s="17">
        <v>2727.0300000000011</v>
      </c>
      <c r="G238" s="17">
        <v>2727.03</v>
      </c>
    </row>
    <row r="239" spans="1:7" x14ac:dyDescent="0.3">
      <c r="A239" t="s">
        <v>30</v>
      </c>
      <c r="B239" t="s">
        <v>28</v>
      </c>
      <c r="C239" t="s">
        <v>25</v>
      </c>
      <c r="D239" t="s">
        <v>19</v>
      </c>
      <c r="E239" s="17">
        <v>11663.3</v>
      </c>
      <c r="F239" s="17">
        <v>4948.8100000000004</v>
      </c>
      <c r="G239" s="17">
        <v>4948.8100000000004</v>
      </c>
    </row>
    <row r="240" spans="1:7" x14ac:dyDescent="0.3">
      <c r="A240" t="s">
        <v>30</v>
      </c>
      <c r="B240" t="s">
        <v>28</v>
      </c>
      <c r="C240" t="s">
        <v>25</v>
      </c>
      <c r="D240" t="s">
        <v>20</v>
      </c>
      <c r="E240" s="17">
        <v>15433.83</v>
      </c>
      <c r="F240" s="17">
        <v>5676.43</v>
      </c>
      <c r="G240" s="17">
        <v>5676.43</v>
      </c>
    </row>
    <row r="241" spans="1:7" x14ac:dyDescent="0.3">
      <c r="A241" t="s">
        <v>30</v>
      </c>
      <c r="B241" t="s">
        <v>28</v>
      </c>
      <c r="C241" t="s">
        <v>25</v>
      </c>
      <c r="D241" t="s">
        <v>21</v>
      </c>
      <c r="E241" s="17">
        <v>21704.84</v>
      </c>
      <c r="F241" s="17">
        <v>8393.49</v>
      </c>
      <c r="G241" s="17">
        <v>8393.49</v>
      </c>
    </row>
    <row r="242" spans="1:7" x14ac:dyDescent="0.3">
      <c r="A242" t="s">
        <v>31</v>
      </c>
      <c r="B242" t="s">
        <v>16</v>
      </c>
      <c r="C242" t="s">
        <v>17</v>
      </c>
      <c r="D242" t="s">
        <v>18</v>
      </c>
      <c r="E242" s="17">
        <v>10748.76</v>
      </c>
      <c r="F242" s="17">
        <v>1951.889999999999</v>
      </c>
      <c r="G242" s="17">
        <v>1951.89</v>
      </c>
    </row>
    <row r="243" spans="1:7" x14ac:dyDescent="0.3">
      <c r="A243" t="s">
        <v>31</v>
      </c>
      <c r="B243" t="s">
        <v>16</v>
      </c>
      <c r="C243" t="s">
        <v>17</v>
      </c>
      <c r="D243" t="s">
        <v>19</v>
      </c>
      <c r="E243" s="17">
        <v>10090.450000000001</v>
      </c>
      <c r="F243" s="17">
        <v>3869.059999999999</v>
      </c>
      <c r="G243" s="17">
        <v>3869.06</v>
      </c>
    </row>
    <row r="244" spans="1:7" x14ac:dyDescent="0.3">
      <c r="A244" t="s">
        <v>31</v>
      </c>
      <c r="B244" t="s">
        <v>16</v>
      </c>
      <c r="C244" t="s">
        <v>17</v>
      </c>
      <c r="D244" t="s">
        <v>20</v>
      </c>
      <c r="E244" s="17">
        <v>21629.3</v>
      </c>
      <c r="F244" s="17">
        <v>9461.2199999999993</v>
      </c>
      <c r="G244" s="17">
        <v>9461.2199999999993</v>
      </c>
    </row>
    <row r="245" spans="1:7" x14ac:dyDescent="0.3">
      <c r="A245" t="s">
        <v>31</v>
      </c>
      <c r="B245" t="s">
        <v>16</v>
      </c>
      <c r="C245" t="s">
        <v>17</v>
      </c>
      <c r="D245" t="s">
        <v>21</v>
      </c>
      <c r="E245" s="17">
        <v>11637.49</v>
      </c>
      <c r="F245" s="17">
        <v>4443.53</v>
      </c>
      <c r="G245" s="17">
        <v>4443.53</v>
      </c>
    </row>
    <row r="246" spans="1:7" x14ac:dyDescent="0.3">
      <c r="A246" t="s">
        <v>31</v>
      </c>
      <c r="B246" t="s">
        <v>16</v>
      </c>
      <c r="C246" t="s">
        <v>22</v>
      </c>
      <c r="D246" t="s">
        <v>18</v>
      </c>
      <c r="E246" s="17">
        <v>14561.04</v>
      </c>
      <c r="F246" s="17">
        <v>4992.66</v>
      </c>
      <c r="G246" s="17">
        <v>4992.66</v>
      </c>
    </row>
    <row r="247" spans="1:7" x14ac:dyDescent="0.3">
      <c r="A247" t="s">
        <v>31</v>
      </c>
      <c r="B247" t="s">
        <v>16</v>
      </c>
      <c r="C247" t="s">
        <v>22</v>
      </c>
      <c r="D247" t="s">
        <v>19</v>
      </c>
      <c r="E247" s="17">
        <v>7072.39</v>
      </c>
      <c r="F247" s="17">
        <v>1692.03</v>
      </c>
      <c r="G247" s="17">
        <v>1692.03</v>
      </c>
    </row>
    <row r="248" spans="1:7" x14ac:dyDescent="0.3">
      <c r="A248" t="s">
        <v>31</v>
      </c>
      <c r="B248" t="s">
        <v>16</v>
      </c>
      <c r="C248" t="s">
        <v>22</v>
      </c>
      <c r="D248" t="s">
        <v>20</v>
      </c>
      <c r="E248" s="17">
        <v>12024.23</v>
      </c>
      <c r="F248" s="17">
        <v>2258.59</v>
      </c>
      <c r="G248" s="17">
        <v>2258.59</v>
      </c>
    </row>
    <row r="249" spans="1:7" x14ac:dyDescent="0.3">
      <c r="A249" t="s">
        <v>31</v>
      </c>
      <c r="B249" t="s">
        <v>16</v>
      </c>
      <c r="C249" t="s">
        <v>22</v>
      </c>
      <c r="D249" t="s">
        <v>21</v>
      </c>
      <c r="E249" s="17">
        <v>9730.98</v>
      </c>
      <c r="F249" s="17">
        <v>3535.93</v>
      </c>
      <c r="G249" s="17">
        <v>3535.93</v>
      </c>
    </row>
    <row r="250" spans="1:7" x14ac:dyDescent="0.3">
      <c r="A250" t="s">
        <v>31</v>
      </c>
      <c r="B250" t="s">
        <v>16</v>
      </c>
      <c r="C250" t="s">
        <v>23</v>
      </c>
      <c r="D250" t="s">
        <v>18</v>
      </c>
      <c r="E250" s="17">
        <v>11299.28</v>
      </c>
      <c r="F250" s="17">
        <v>2537.389999999999</v>
      </c>
      <c r="G250" s="17">
        <v>2537.39</v>
      </c>
    </row>
    <row r="251" spans="1:7" x14ac:dyDescent="0.3">
      <c r="A251" t="s">
        <v>31</v>
      </c>
      <c r="B251" t="s">
        <v>16</v>
      </c>
      <c r="C251" t="s">
        <v>23</v>
      </c>
      <c r="D251" t="s">
        <v>19</v>
      </c>
      <c r="E251" s="17">
        <v>12749.97</v>
      </c>
      <c r="F251" s="17">
        <v>2734.35</v>
      </c>
      <c r="G251" s="17">
        <v>2734.35</v>
      </c>
    </row>
    <row r="252" spans="1:7" x14ac:dyDescent="0.3">
      <c r="A252" t="s">
        <v>31</v>
      </c>
      <c r="B252" t="s">
        <v>16</v>
      </c>
      <c r="C252" t="s">
        <v>23</v>
      </c>
      <c r="D252" t="s">
        <v>20</v>
      </c>
      <c r="E252" s="17">
        <v>16311.91</v>
      </c>
      <c r="F252" s="17">
        <v>3054.91</v>
      </c>
      <c r="G252" s="17">
        <v>3054.91</v>
      </c>
    </row>
    <row r="253" spans="1:7" x14ac:dyDescent="0.3">
      <c r="A253" t="s">
        <v>31</v>
      </c>
      <c r="B253" t="s">
        <v>16</v>
      </c>
      <c r="C253" t="s">
        <v>23</v>
      </c>
      <c r="D253" t="s">
        <v>21</v>
      </c>
      <c r="E253" s="17">
        <v>11062.47</v>
      </c>
      <c r="F253" s="17">
        <v>3677.01</v>
      </c>
      <c r="G253" s="17">
        <v>3677.01</v>
      </c>
    </row>
    <row r="254" spans="1:7" x14ac:dyDescent="0.3">
      <c r="A254" t="s">
        <v>31</v>
      </c>
      <c r="B254" t="s">
        <v>16</v>
      </c>
      <c r="C254" t="s">
        <v>24</v>
      </c>
      <c r="D254" t="s">
        <v>18</v>
      </c>
      <c r="E254" s="17">
        <v>2623.35</v>
      </c>
      <c r="F254" s="17">
        <v>927.47</v>
      </c>
      <c r="G254" s="17">
        <v>927.47</v>
      </c>
    </row>
    <row r="255" spans="1:7" x14ac:dyDescent="0.3">
      <c r="A255" t="s">
        <v>31</v>
      </c>
      <c r="B255" t="s">
        <v>16</v>
      </c>
      <c r="C255" t="s">
        <v>24</v>
      </c>
      <c r="D255" t="s">
        <v>19</v>
      </c>
      <c r="E255" s="17">
        <v>5121.09</v>
      </c>
      <c r="F255" s="17">
        <v>1560.18</v>
      </c>
      <c r="G255" s="17">
        <v>1560.18</v>
      </c>
    </row>
    <row r="256" spans="1:7" x14ac:dyDescent="0.3">
      <c r="A256" t="s">
        <v>31</v>
      </c>
      <c r="B256" t="s">
        <v>16</v>
      </c>
      <c r="C256" t="s">
        <v>24</v>
      </c>
      <c r="D256" t="s">
        <v>20</v>
      </c>
      <c r="E256" s="17">
        <v>3156.55</v>
      </c>
      <c r="F256" s="17">
        <v>891.27999999999975</v>
      </c>
      <c r="G256" s="17">
        <v>891.28</v>
      </c>
    </row>
    <row r="257" spans="1:7" x14ac:dyDescent="0.3">
      <c r="A257" t="s">
        <v>31</v>
      </c>
      <c r="B257" t="s">
        <v>16</v>
      </c>
      <c r="C257" t="s">
        <v>24</v>
      </c>
      <c r="D257" t="s">
        <v>21</v>
      </c>
      <c r="E257" s="17">
        <v>6868.19</v>
      </c>
      <c r="F257" s="17">
        <v>1842.38</v>
      </c>
      <c r="G257" s="17">
        <v>1842.38</v>
      </c>
    </row>
    <row r="258" spans="1:7" x14ac:dyDescent="0.3">
      <c r="A258" t="s">
        <v>31</v>
      </c>
      <c r="B258" t="s">
        <v>16</v>
      </c>
      <c r="C258" t="s">
        <v>25</v>
      </c>
      <c r="D258" t="s">
        <v>18</v>
      </c>
      <c r="E258" s="17">
        <v>19508.28</v>
      </c>
      <c r="F258" s="17">
        <v>5508.4399999999987</v>
      </c>
      <c r="G258" s="17">
        <v>5508.44</v>
      </c>
    </row>
    <row r="259" spans="1:7" x14ac:dyDescent="0.3">
      <c r="A259" t="s">
        <v>31</v>
      </c>
      <c r="B259" t="s">
        <v>16</v>
      </c>
      <c r="C259" t="s">
        <v>25</v>
      </c>
      <c r="D259" t="s">
        <v>19</v>
      </c>
      <c r="E259" s="17">
        <v>19296.23</v>
      </c>
      <c r="F259" s="17">
        <v>7807.630000000001</v>
      </c>
      <c r="G259" s="17">
        <v>7807.63</v>
      </c>
    </row>
    <row r="260" spans="1:7" x14ac:dyDescent="0.3">
      <c r="A260" t="s">
        <v>31</v>
      </c>
      <c r="B260" t="s">
        <v>16</v>
      </c>
      <c r="C260" t="s">
        <v>25</v>
      </c>
      <c r="D260" t="s">
        <v>20</v>
      </c>
      <c r="E260" s="17">
        <v>7802.25</v>
      </c>
      <c r="F260" s="17">
        <v>1576.95</v>
      </c>
      <c r="G260" s="17">
        <v>1576.95</v>
      </c>
    </row>
    <row r="261" spans="1:7" x14ac:dyDescent="0.3">
      <c r="A261" t="s">
        <v>31</v>
      </c>
      <c r="B261" t="s">
        <v>16</v>
      </c>
      <c r="C261" t="s">
        <v>25</v>
      </c>
      <c r="D261" t="s">
        <v>21</v>
      </c>
      <c r="E261" s="17">
        <v>2445.8200000000002</v>
      </c>
      <c r="F261" s="17">
        <v>796.46</v>
      </c>
      <c r="G261" s="17">
        <v>796.46</v>
      </c>
    </row>
    <row r="262" spans="1:7" x14ac:dyDescent="0.3">
      <c r="A262" t="s">
        <v>31</v>
      </c>
      <c r="B262" t="s">
        <v>26</v>
      </c>
      <c r="C262" t="s">
        <v>17</v>
      </c>
      <c r="D262" t="s">
        <v>18</v>
      </c>
      <c r="E262" s="17">
        <v>24997.88</v>
      </c>
      <c r="F262" s="17">
        <v>6861.6499999999978</v>
      </c>
      <c r="G262" s="17">
        <v>6861.65</v>
      </c>
    </row>
    <row r="263" spans="1:7" x14ac:dyDescent="0.3">
      <c r="A263" t="s">
        <v>31</v>
      </c>
      <c r="B263" t="s">
        <v>26</v>
      </c>
      <c r="C263" t="s">
        <v>17</v>
      </c>
      <c r="D263" t="s">
        <v>19</v>
      </c>
      <c r="E263" s="17">
        <v>16953.310000000001</v>
      </c>
      <c r="F263" s="17">
        <v>6627.6100000000006</v>
      </c>
      <c r="G263" s="17">
        <v>6627.61</v>
      </c>
    </row>
    <row r="264" spans="1:7" x14ac:dyDescent="0.3">
      <c r="A264" t="s">
        <v>31</v>
      </c>
      <c r="B264" t="s">
        <v>26</v>
      </c>
      <c r="C264" t="s">
        <v>17</v>
      </c>
      <c r="D264" t="s">
        <v>20</v>
      </c>
      <c r="E264" s="17">
        <v>16990.36</v>
      </c>
      <c r="F264" s="17">
        <v>6518.23</v>
      </c>
      <c r="G264" s="17">
        <v>6518.23</v>
      </c>
    </row>
    <row r="265" spans="1:7" x14ac:dyDescent="0.3">
      <c r="A265" t="s">
        <v>31</v>
      </c>
      <c r="B265" t="s">
        <v>26</v>
      </c>
      <c r="C265" t="s">
        <v>17</v>
      </c>
      <c r="D265" t="s">
        <v>21</v>
      </c>
      <c r="E265" s="17">
        <v>23841.07</v>
      </c>
      <c r="F265" s="17">
        <v>5574.7000000000007</v>
      </c>
      <c r="G265" s="17">
        <v>5574.7</v>
      </c>
    </row>
    <row r="266" spans="1:7" x14ac:dyDescent="0.3">
      <c r="A266" t="s">
        <v>31</v>
      </c>
      <c r="B266" t="s">
        <v>26</v>
      </c>
      <c r="C266" t="s">
        <v>22</v>
      </c>
      <c r="D266" t="s">
        <v>18</v>
      </c>
      <c r="E266" s="17">
        <v>2468.7399999999998</v>
      </c>
      <c r="F266" s="17">
        <v>545.95000000000005</v>
      </c>
      <c r="G266" s="17">
        <v>545.95000000000005</v>
      </c>
    </row>
    <row r="267" spans="1:7" x14ac:dyDescent="0.3">
      <c r="A267" t="s">
        <v>31</v>
      </c>
      <c r="B267" t="s">
        <v>26</v>
      </c>
      <c r="C267" t="s">
        <v>22</v>
      </c>
      <c r="D267" t="s">
        <v>19</v>
      </c>
      <c r="E267" s="17">
        <v>4903.08</v>
      </c>
      <c r="F267" s="17">
        <v>1768.81</v>
      </c>
      <c r="G267" s="17">
        <v>1768.81</v>
      </c>
    </row>
    <row r="268" spans="1:7" x14ac:dyDescent="0.3">
      <c r="A268" t="s">
        <v>31</v>
      </c>
      <c r="B268" t="s">
        <v>26</v>
      </c>
      <c r="C268" t="s">
        <v>22</v>
      </c>
      <c r="D268" t="s">
        <v>20</v>
      </c>
      <c r="E268" s="17">
        <v>14971.3</v>
      </c>
      <c r="F268" s="17">
        <v>3575.9</v>
      </c>
      <c r="G268" s="17">
        <v>3575.9</v>
      </c>
    </row>
    <row r="269" spans="1:7" x14ac:dyDescent="0.3">
      <c r="A269" t="s">
        <v>31</v>
      </c>
      <c r="B269" t="s">
        <v>26</v>
      </c>
      <c r="C269" t="s">
        <v>22</v>
      </c>
      <c r="D269" t="s">
        <v>21</v>
      </c>
      <c r="E269" s="17">
        <v>18087.689999999999</v>
      </c>
      <c r="F269" s="17">
        <v>7001.07</v>
      </c>
      <c r="G269" s="17">
        <v>7001.07</v>
      </c>
    </row>
    <row r="270" spans="1:7" x14ac:dyDescent="0.3">
      <c r="A270" t="s">
        <v>31</v>
      </c>
      <c r="B270" t="s">
        <v>26</v>
      </c>
      <c r="C270" t="s">
        <v>23</v>
      </c>
      <c r="D270" t="s">
        <v>18</v>
      </c>
      <c r="E270" s="17">
        <v>5859.15</v>
      </c>
      <c r="F270" s="17">
        <v>2015.29</v>
      </c>
      <c r="G270" s="17">
        <v>2015.29</v>
      </c>
    </row>
    <row r="271" spans="1:7" x14ac:dyDescent="0.3">
      <c r="A271" t="s">
        <v>31</v>
      </c>
      <c r="B271" t="s">
        <v>26</v>
      </c>
      <c r="C271" t="s">
        <v>23</v>
      </c>
      <c r="D271" t="s">
        <v>19</v>
      </c>
      <c r="E271" s="17">
        <v>19202.29</v>
      </c>
      <c r="F271" s="17">
        <v>4050.2199999999989</v>
      </c>
      <c r="G271" s="17">
        <v>4050.22</v>
      </c>
    </row>
    <row r="272" spans="1:7" x14ac:dyDescent="0.3">
      <c r="A272" t="s">
        <v>31</v>
      </c>
      <c r="B272" t="s">
        <v>26</v>
      </c>
      <c r="C272" t="s">
        <v>23</v>
      </c>
      <c r="D272" t="s">
        <v>20</v>
      </c>
      <c r="E272" s="17">
        <v>20843.93</v>
      </c>
      <c r="F272" s="17">
        <v>9181.2199999999993</v>
      </c>
      <c r="G272" s="17">
        <v>9181.2199999999993</v>
      </c>
    </row>
    <row r="273" spans="1:7" x14ac:dyDescent="0.3">
      <c r="A273" t="s">
        <v>31</v>
      </c>
      <c r="B273" t="s">
        <v>26</v>
      </c>
      <c r="C273" t="s">
        <v>23</v>
      </c>
      <c r="D273" t="s">
        <v>21</v>
      </c>
      <c r="E273" s="17">
        <v>4486.2700000000004</v>
      </c>
      <c r="F273" s="17">
        <v>838.63000000000011</v>
      </c>
      <c r="G273" s="17">
        <v>838.63</v>
      </c>
    </row>
    <row r="274" spans="1:7" x14ac:dyDescent="0.3">
      <c r="A274" t="s">
        <v>31</v>
      </c>
      <c r="B274" t="s">
        <v>26</v>
      </c>
      <c r="C274" t="s">
        <v>24</v>
      </c>
      <c r="D274" t="s">
        <v>18</v>
      </c>
      <c r="E274" s="17">
        <v>9175.02</v>
      </c>
      <c r="F274" s="17">
        <v>3329.4699999999989</v>
      </c>
      <c r="G274" s="17">
        <v>3329.47</v>
      </c>
    </row>
    <row r="275" spans="1:7" x14ac:dyDescent="0.3">
      <c r="A275" t="s">
        <v>31</v>
      </c>
      <c r="B275" t="s">
        <v>26</v>
      </c>
      <c r="C275" t="s">
        <v>24</v>
      </c>
      <c r="D275" t="s">
        <v>19</v>
      </c>
      <c r="E275" s="17">
        <v>24037.98</v>
      </c>
      <c r="F275" s="17">
        <v>6901.2200000000012</v>
      </c>
      <c r="G275" s="17">
        <v>6901.22</v>
      </c>
    </row>
    <row r="276" spans="1:7" x14ac:dyDescent="0.3">
      <c r="A276" t="s">
        <v>31</v>
      </c>
      <c r="B276" t="s">
        <v>26</v>
      </c>
      <c r="C276" t="s">
        <v>24</v>
      </c>
      <c r="D276" t="s">
        <v>20</v>
      </c>
      <c r="E276" s="17">
        <v>18445.34</v>
      </c>
      <c r="F276" s="17">
        <v>3698.639999999999</v>
      </c>
      <c r="G276" s="17">
        <v>3698.64</v>
      </c>
    </row>
    <row r="277" spans="1:7" x14ac:dyDescent="0.3">
      <c r="A277" t="s">
        <v>31</v>
      </c>
      <c r="B277" t="s">
        <v>26</v>
      </c>
      <c r="C277" t="s">
        <v>24</v>
      </c>
      <c r="D277" t="s">
        <v>21</v>
      </c>
      <c r="E277" s="17">
        <v>17884.13</v>
      </c>
      <c r="F277" s="17">
        <v>6247.92</v>
      </c>
      <c r="G277" s="17">
        <v>6247.92</v>
      </c>
    </row>
    <row r="278" spans="1:7" x14ac:dyDescent="0.3">
      <c r="A278" t="s">
        <v>31</v>
      </c>
      <c r="B278" t="s">
        <v>26</v>
      </c>
      <c r="C278" t="s">
        <v>25</v>
      </c>
      <c r="D278" t="s">
        <v>18</v>
      </c>
      <c r="E278" s="17">
        <v>4343.7299999999996</v>
      </c>
      <c r="F278" s="17">
        <v>1687.84</v>
      </c>
      <c r="G278" s="17">
        <v>1687.84</v>
      </c>
    </row>
    <row r="279" spans="1:7" x14ac:dyDescent="0.3">
      <c r="A279" t="s">
        <v>31</v>
      </c>
      <c r="B279" t="s">
        <v>26</v>
      </c>
      <c r="C279" t="s">
        <v>25</v>
      </c>
      <c r="D279" t="s">
        <v>19</v>
      </c>
      <c r="E279" s="17">
        <v>21556.74</v>
      </c>
      <c r="F279" s="17">
        <v>7374.7999999999993</v>
      </c>
      <c r="G279" s="17">
        <v>7374.8</v>
      </c>
    </row>
    <row r="280" spans="1:7" x14ac:dyDescent="0.3">
      <c r="A280" t="s">
        <v>31</v>
      </c>
      <c r="B280" t="s">
        <v>26</v>
      </c>
      <c r="C280" t="s">
        <v>25</v>
      </c>
      <c r="D280" t="s">
        <v>20</v>
      </c>
      <c r="E280" s="17">
        <v>4784.2700000000004</v>
      </c>
      <c r="F280" s="17">
        <v>2132.0500000000002</v>
      </c>
      <c r="G280" s="17">
        <v>2132.0500000000002</v>
      </c>
    </row>
    <row r="281" spans="1:7" x14ac:dyDescent="0.3">
      <c r="A281" t="s">
        <v>31</v>
      </c>
      <c r="B281" t="s">
        <v>26</v>
      </c>
      <c r="C281" t="s">
        <v>25</v>
      </c>
      <c r="D281" t="s">
        <v>21</v>
      </c>
      <c r="E281" s="17">
        <v>20000.61</v>
      </c>
      <c r="F281" s="17">
        <v>5475.07</v>
      </c>
      <c r="G281" s="17">
        <v>5475.07</v>
      </c>
    </row>
    <row r="282" spans="1:7" x14ac:dyDescent="0.3">
      <c r="A282" t="s">
        <v>31</v>
      </c>
      <c r="B282" t="s">
        <v>27</v>
      </c>
      <c r="C282" t="s">
        <v>17</v>
      </c>
      <c r="D282" t="s">
        <v>18</v>
      </c>
      <c r="E282" s="17">
        <v>11852.69</v>
      </c>
      <c r="F282" s="17">
        <v>3319.389999999999</v>
      </c>
      <c r="G282" s="17">
        <v>3319.39</v>
      </c>
    </row>
    <row r="283" spans="1:7" x14ac:dyDescent="0.3">
      <c r="A283" t="s">
        <v>31</v>
      </c>
      <c r="B283" t="s">
        <v>27</v>
      </c>
      <c r="C283" t="s">
        <v>17</v>
      </c>
      <c r="D283" t="s">
        <v>19</v>
      </c>
      <c r="E283" s="17">
        <v>13637.1</v>
      </c>
      <c r="F283" s="17">
        <v>3711.1</v>
      </c>
      <c r="G283" s="17">
        <v>3711.1</v>
      </c>
    </row>
    <row r="284" spans="1:7" x14ac:dyDescent="0.3">
      <c r="A284" t="s">
        <v>31</v>
      </c>
      <c r="B284" t="s">
        <v>27</v>
      </c>
      <c r="C284" t="s">
        <v>17</v>
      </c>
      <c r="D284" t="s">
        <v>20</v>
      </c>
      <c r="E284" s="17">
        <v>21540.240000000002</v>
      </c>
      <c r="F284" s="17">
        <v>8659.81</v>
      </c>
      <c r="G284" s="17">
        <v>8659.81</v>
      </c>
    </row>
    <row r="285" spans="1:7" x14ac:dyDescent="0.3">
      <c r="A285" t="s">
        <v>31</v>
      </c>
      <c r="B285" t="s">
        <v>27</v>
      </c>
      <c r="C285" t="s">
        <v>17</v>
      </c>
      <c r="D285" t="s">
        <v>21</v>
      </c>
      <c r="E285" s="17">
        <v>4427.3900000000003</v>
      </c>
      <c r="F285" s="17">
        <v>1945.45</v>
      </c>
      <c r="G285" s="17">
        <v>1945.45</v>
      </c>
    </row>
    <row r="286" spans="1:7" x14ac:dyDescent="0.3">
      <c r="A286" t="s">
        <v>31</v>
      </c>
      <c r="B286" t="s">
        <v>27</v>
      </c>
      <c r="C286" t="s">
        <v>22</v>
      </c>
      <c r="D286" t="s">
        <v>18</v>
      </c>
      <c r="E286" s="17">
        <v>16618.46</v>
      </c>
      <c r="F286" s="17">
        <v>6709.7200000000012</v>
      </c>
      <c r="G286" s="17">
        <v>6709.72</v>
      </c>
    </row>
    <row r="287" spans="1:7" x14ac:dyDescent="0.3">
      <c r="A287" t="s">
        <v>31</v>
      </c>
      <c r="B287" t="s">
        <v>27</v>
      </c>
      <c r="C287" t="s">
        <v>22</v>
      </c>
      <c r="D287" t="s">
        <v>19</v>
      </c>
      <c r="E287" s="17">
        <v>18268.099999999999</v>
      </c>
      <c r="F287" s="17">
        <v>5436.25</v>
      </c>
      <c r="G287" s="17">
        <v>5436.25</v>
      </c>
    </row>
    <row r="288" spans="1:7" x14ac:dyDescent="0.3">
      <c r="A288" t="s">
        <v>31</v>
      </c>
      <c r="B288" t="s">
        <v>27</v>
      </c>
      <c r="C288" t="s">
        <v>22</v>
      </c>
      <c r="D288" t="s">
        <v>20</v>
      </c>
      <c r="E288" s="17">
        <v>18877.29</v>
      </c>
      <c r="F288" s="17">
        <v>8318.7999999999993</v>
      </c>
      <c r="G288" s="17">
        <v>8318.7999999999993</v>
      </c>
    </row>
    <row r="289" spans="1:7" x14ac:dyDescent="0.3">
      <c r="A289" t="s">
        <v>31</v>
      </c>
      <c r="B289" t="s">
        <v>27</v>
      </c>
      <c r="C289" t="s">
        <v>22</v>
      </c>
      <c r="D289" t="s">
        <v>21</v>
      </c>
      <c r="E289" s="17">
        <v>8211.9</v>
      </c>
      <c r="F289" s="17">
        <v>3270.09</v>
      </c>
      <c r="G289" s="17">
        <v>3270.09</v>
      </c>
    </row>
    <row r="290" spans="1:7" x14ac:dyDescent="0.3">
      <c r="A290" t="s">
        <v>31</v>
      </c>
      <c r="B290" t="s">
        <v>27</v>
      </c>
      <c r="C290" t="s">
        <v>23</v>
      </c>
      <c r="D290" t="s">
        <v>18</v>
      </c>
      <c r="E290" s="17">
        <v>14377.98</v>
      </c>
      <c r="F290" s="17">
        <v>4465</v>
      </c>
      <c r="G290" s="17">
        <v>4465</v>
      </c>
    </row>
    <row r="291" spans="1:7" x14ac:dyDescent="0.3">
      <c r="A291" t="s">
        <v>31</v>
      </c>
      <c r="B291" t="s">
        <v>27</v>
      </c>
      <c r="C291" t="s">
        <v>23</v>
      </c>
      <c r="D291" t="s">
        <v>19</v>
      </c>
      <c r="E291" s="17">
        <v>12018.21</v>
      </c>
      <c r="F291" s="17">
        <v>4535.3999999999996</v>
      </c>
      <c r="G291" s="17">
        <v>4535.3999999999996</v>
      </c>
    </row>
    <row r="292" spans="1:7" x14ac:dyDescent="0.3">
      <c r="A292" t="s">
        <v>31</v>
      </c>
      <c r="B292" t="s">
        <v>27</v>
      </c>
      <c r="C292" t="s">
        <v>23</v>
      </c>
      <c r="D292" t="s">
        <v>20</v>
      </c>
      <c r="E292" s="17">
        <v>8173.1</v>
      </c>
      <c r="F292" s="17">
        <v>3350.66</v>
      </c>
      <c r="G292" s="17">
        <v>3350.66</v>
      </c>
    </row>
    <row r="293" spans="1:7" x14ac:dyDescent="0.3">
      <c r="A293" t="s">
        <v>31</v>
      </c>
      <c r="B293" t="s">
        <v>27</v>
      </c>
      <c r="C293" t="s">
        <v>23</v>
      </c>
      <c r="D293" t="s">
        <v>21</v>
      </c>
      <c r="E293" s="17">
        <v>21106.81</v>
      </c>
      <c r="F293" s="17">
        <v>4293.1000000000022</v>
      </c>
      <c r="G293" s="17">
        <v>4293.1000000000004</v>
      </c>
    </row>
    <row r="294" spans="1:7" x14ac:dyDescent="0.3">
      <c r="A294" t="s">
        <v>31</v>
      </c>
      <c r="B294" t="s">
        <v>27</v>
      </c>
      <c r="C294" t="s">
        <v>24</v>
      </c>
      <c r="D294" t="s">
        <v>18</v>
      </c>
      <c r="E294" s="17">
        <v>22277.52</v>
      </c>
      <c r="F294" s="17">
        <v>5476.7799999999988</v>
      </c>
      <c r="G294" s="17">
        <v>5476.78</v>
      </c>
    </row>
    <row r="295" spans="1:7" x14ac:dyDescent="0.3">
      <c r="A295" t="s">
        <v>31</v>
      </c>
      <c r="B295" t="s">
        <v>27</v>
      </c>
      <c r="C295" t="s">
        <v>24</v>
      </c>
      <c r="D295" t="s">
        <v>19</v>
      </c>
      <c r="E295" s="17">
        <v>12688.29</v>
      </c>
      <c r="F295" s="17">
        <v>4374.7900000000009</v>
      </c>
      <c r="G295" s="17">
        <v>4374.79</v>
      </c>
    </row>
    <row r="296" spans="1:7" x14ac:dyDescent="0.3">
      <c r="A296" t="s">
        <v>31</v>
      </c>
      <c r="B296" t="s">
        <v>27</v>
      </c>
      <c r="C296" t="s">
        <v>24</v>
      </c>
      <c r="D296" t="s">
        <v>20</v>
      </c>
      <c r="E296" s="17">
        <v>10716.75</v>
      </c>
      <c r="F296" s="17">
        <v>2012.059999999999</v>
      </c>
      <c r="G296" s="17">
        <v>2012.06</v>
      </c>
    </row>
    <row r="297" spans="1:7" x14ac:dyDescent="0.3">
      <c r="A297" t="s">
        <v>31</v>
      </c>
      <c r="B297" t="s">
        <v>27</v>
      </c>
      <c r="C297" t="s">
        <v>24</v>
      </c>
      <c r="D297" t="s">
        <v>21</v>
      </c>
      <c r="E297" s="17">
        <v>21571.919999999998</v>
      </c>
      <c r="F297" s="17">
        <v>4942.0600000000013</v>
      </c>
      <c r="G297" s="17">
        <v>4942.0600000000004</v>
      </c>
    </row>
    <row r="298" spans="1:7" x14ac:dyDescent="0.3">
      <c r="A298" t="s">
        <v>31</v>
      </c>
      <c r="B298" t="s">
        <v>27</v>
      </c>
      <c r="C298" t="s">
        <v>25</v>
      </c>
      <c r="D298" t="s">
        <v>18</v>
      </c>
      <c r="E298" s="17">
        <v>6878.76</v>
      </c>
      <c r="F298" s="17">
        <v>2719.96</v>
      </c>
      <c r="G298" s="17">
        <v>2719.96</v>
      </c>
    </row>
    <row r="299" spans="1:7" x14ac:dyDescent="0.3">
      <c r="A299" t="s">
        <v>31</v>
      </c>
      <c r="B299" t="s">
        <v>27</v>
      </c>
      <c r="C299" t="s">
        <v>25</v>
      </c>
      <c r="D299" t="s">
        <v>19</v>
      </c>
      <c r="E299" s="17">
        <v>9827.7900000000009</v>
      </c>
      <c r="F299" s="17">
        <v>4104.93</v>
      </c>
      <c r="G299" s="17">
        <v>4104.93</v>
      </c>
    </row>
    <row r="300" spans="1:7" x14ac:dyDescent="0.3">
      <c r="A300" t="s">
        <v>31</v>
      </c>
      <c r="B300" t="s">
        <v>27</v>
      </c>
      <c r="C300" t="s">
        <v>25</v>
      </c>
      <c r="D300" t="s">
        <v>20</v>
      </c>
      <c r="E300" s="17">
        <v>18127.23</v>
      </c>
      <c r="F300" s="17">
        <v>4615.0600000000013</v>
      </c>
      <c r="G300" s="17">
        <v>4615.0600000000004</v>
      </c>
    </row>
    <row r="301" spans="1:7" x14ac:dyDescent="0.3">
      <c r="A301" t="s">
        <v>31</v>
      </c>
      <c r="B301" t="s">
        <v>27</v>
      </c>
      <c r="C301" t="s">
        <v>25</v>
      </c>
      <c r="D301" t="s">
        <v>21</v>
      </c>
      <c r="E301" s="17">
        <v>2233.48</v>
      </c>
      <c r="F301" s="17">
        <v>973.75</v>
      </c>
      <c r="G301" s="17">
        <v>973.75</v>
      </c>
    </row>
    <row r="302" spans="1:7" x14ac:dyDescent="0.3">
      <c r="A302" t="s">
        <v>31</v>
      </c>
      <c r="B302" t="s">
        <v>28</v>
      </c>
      <c r="C302" t="s">
        <v>17</v>
      </c>
      <c r="D302" t="s">
        <v>18</v>
      </c>
      <c r="E302" s="17">
        <v>3969.1</v>
      </c>
      <c r="F302" s="17">
        <v>1486.11</v>
      </c>
      <c r="G302" s="17">
        <v>1486.11</v>
      </c>
    </row>
    <row r="303" spans="1:7" x14ac:dyDescent="0.3">
      <c r="A303" t="s">
        <v>31</v>
      </c>
      <c r="B303" t="s">
        <v>28</v>
      </c>
      <c r="C303" t="s">
        <v>17</v>
      </c>
      <c r="D303" t="s">
        <v>19</v>
      </c>
      <c r="E303" s="17">
        <v>13237.29</v>
      </c>
      <c r="F303" s="17">
        <v>5092.4399999999996</v>
      </c>
      <c r="G303" s="17">
        <v>5092.4399999999996</v>
      </c>
    </row>
    <row r="304" spans="1:7" x14ac:dyDescent="0.3">
      <c r="A304" t="s">
        <v>31</v>
      </c>
      <c r="B304" t="s">
        <v>28</v>
      </c>
      <c r="C304" t="s">
        <v>17</v>
      </c>
      <c r="D304" t="s">
        <v>20</v>
      </c>
      <c r="E304" s="17">
        <v>17884.009999999998</v>
      </c>
      <c r="F304" s="17">
        <v>6337.98</v>
      </c>
      <c r="G304" s="17">
        <v>6337.98</v>
      </c>
    </row>
    <row r="305" spans="1:7" x14ac:dyDescent="0.3">
      <c r="A305" t="s">
        <v>31</v>
      </c>
      <c r="B305" t="s">
        <v>28</v>
      </c>
      <c r="C305" t="s">
        <v>17</v>
      </c>
      <c r="D305" t="s">
        <v>21</v>
      </c>
      <c r="E305" s="17">
        <v>13288.89</v>
      </c>
      <c r="F305" s="17">
        <v>5237.04</v>
      </c>
      <c r="G305" s="17">
        <v>5237.04</v>
      </c>
    </row>
    <row r="306" spans="1:7" x14ac:dyDescent="0.3">
      <c r="A306" t="s">
        <v>31</v>
      </c>
      <c r="B306" t="s">
        <v>28</v>
      </c>
      <c r="C306" t="s">
        <v>22</v>
      </c>
      <c r="D306" t="s">
        <v>18</v>
      </c>
      <c r="E306" s="17">
        <v>4140.2299999999996</v>
      </c>
      <c r="F306" s="17">
        <v>992.96</v>
      </c>
      <c r="G306" s="17">
        <v>992.96</v>
      </c>
    </row>
    <row r="307" spans="1:7" x14ac:dyDescent="0.3">
      <c r="A307" t="s">
        <v>31</v>
      </c>
      <c r="B307" t="s">
        <v>28</v>
      </c>
      <c r="C307" t="s">
        <v>22</v>
      </c>
      <c r="D307" t="s">
        <v>19</v>
      </c>
      <c r="E307" s="17">
        <v>17911.099999999999</v>
      </c>
      <c r="F307" s="17">
        <v>4704.8100000000013</v>
      </c>
      <c r="G307" s="17">
        <v>4704.8100000000004</v>
      </c>
    </row>
    <row r="308" spans="1:7" x14ac:dyDescent="0.3">
      <c r="A308" t="s">
        <v>31</v>
      </c>
      <c r="B308" t="s">
        <v>28</v>
      </c>
      <c r="C308" t="s">
        <v>22</v>
      </c>
      <c r="D308" t="s">
        <v>20</v>
      </c>
      <c r="E308" s="17">
        <v>15375.78</v>
      </c>
      <c r="F308" s="17">
        <v>4732.3599999999988</v>
      </c>
      <c r="G308" s="17">
        <v>4732.3599999999997</v>
      </c>
    </row>
    <row r="309" spans="1:7" x14ac:dyDescent="0.3">
      <c r="A309" t="s">
        <v>31</v>
      </c>
      <c r="B309" t="s">
        <v>28</v>
      </c>
      <c r="C309" t="s">
        <v>22</v>
      </c>
      <c r="D309" t="s">
        <v>21</v>
      </c>
      <c r="E309" s="17">
        <v>14211.2</v>
      </c>
      <c r="F309" s="17">
        <v>4190.68</v>
      </c>
      <c r="G309" s="17">
        <v>4190.68</v>
      </c>
    </row>
    <row r="310" spans="1:7" x14ac:dyDescent="0.3">
      <c r="A310" t="s">
        <v>31</v>
      </c>
      <c r="B310" t="s">
        <v>28</v>
      </c>
      <c r="C310" t="s">
        <v>23</v>
      </c>
      <c r="D310" t="s">
        <v>18</v>
      </c>
      <c r="E310" s="17">
        <v>19156.52</v>
      </c>
      <c r="F310" s="17">
        <v>5159.1100000000006</v>
      </c>
      <c r="G310" s="17">
        <v>5159.1099999999997</v>
      </c>
    </row>
    <row r="311" spans="1:7" x14ac:dyDescent="0.3">
      <c r="A311" t="s">
        <v>31</v>
      </c>
      <c r="B311" t="s">
        <v>28</v>
      </c>
      <c r="C311" t="s">
        <v>23</v>
      </c>
      <c r="D311" t="s">
        <v>19</v>
      </c>
      <c r="E311" s="17">
        <v>18165.66</v>
      </c>
      <c r="F311" s="17">
        <v>4598.59</v>
      </c>
      <c r="G311" s="17">
        <v>4598.59</v>
      </c>
    </row>
    <row r="312" spans="1:7" x14ac:dyDescent="0.3">
      <c r="A312" t="s">
        <v>31</v>
      </c>
      <c r="B312" t="s">
        <v>28</v>
      </c>
      <c r="C312" t="s">
        <v>23</v>
      </c>
      <c r="D312" t="s">
        <v>20</v>
      </c>
      <c r="E312" s="17">
        <v>7782.28</v>
      </c>
      <c r="F312" s="17">
        <v>1654.33</v>
      </c>
      <c r="G312" s="17">
        <v>1654.33</v>
      </c>
    </row>
    <row r="313" spans="1:7" x14ac:dyDescent="0.3">
      <c r="A313" t="s">
        <v>31</v>
      </c>
      <c r="B313" t="s">
        <v>28</v>
      </c>
      <c r="C313" t="s">
        <v>23</v>
      </c>
      <c r="D313" t="s">
        <v>21</v>
      </c>
      <c r="E313" s="17">
        <v>6429.44</v>
      </c>
      <c r="F313" s="17">
        <v>1364.84</v>
      </c>
      <c r="G313" s="17">
        <v>1364.84</v>
      </c>
    </row>
    <row r="314" spans="1:7" x14ac:dyDescent="0.3">
      <c r="A314" t="s">
        <v>31</v>
      </c>
      <c r="B314" t="s">
        <v>28</v>
      </c>
      <c r="C314" t="s">
        <v>24</v>
      </c>
      <c r="D314" t="s">
        <v>18</v>
      </c>
      <c r="E314" s="17">
        <v>14324.87</v>
      </c>
      <c r="F314" s="17">
        <v>5526.41</v>
      </c>
      <c r="G314" s="17">
        <v>5526.41</v>
      </c>
    </row>
    <row r="315" spans="1:7" x14ac:dyDescent="0.3">
      <c r="A315" t="s">
        <v>31</v>
      </c>
      <c r="B315" t="s">
        <v>28</v>
      </c>
      <c r="C315" t="s">
        <v>24</v>
      </c>
      <c r="D315" t="s">
        <v>19</v>
      </c>
      <c r="E315" s="17">
        <v>6258.45</v>
      </c>
      <c r="F315" s="17">
        <v>1492.16</v>
      </c>
      <c r="G315" s="17">
        <v>1492.16</v>
      </c>
    </row>
    <row r="316" spans="1:7" x14ac:dyDescent="0.3">
      <c r="A316" t="s">
        <v>31</v>
      </c>
      <c r="B316" t="s">
        <v>28</v>
      </c>
      <c r="C316" t="s">
        <v>24</v>
      </c>
      <c r="D316" t="s">
        <v>20</v>
      </c>
      <c r="E316" s="17">
        <v>13136.57</v>
      </c>
      <c r="F316" s="17">
        <v>4934.59</v>
      </c>
      <c r="G316" s="17">
        <v>4934.59</v>
      </c>
    </row>
    <row r="317" spans="1:7" x14ac:dyDescent="0.3">
      <c r="A317" t="s">
        <v>31</v>
      </c>
      <c r="B317" t="s">
        <v>28</v>
      </c>
      <c r="C317" t="s">
        <v>24</v>
      </c>
      <c r="D317" t="s">
        <v>21</v>
      </c>
      <c r="E317" s="17">
        <v>24461.96</v>
      </c>
      <c r="F317" s="17">
        <v>7868.239999999998</v>
      </c>
      <c r="G317" s="17">
        <v>7868.24</v>
      </c>
    </row>
    <row r="318" spans="1:7" x14ac:dyDescent="0.3">
      <c r="A318" t="s">
        <v>31</v>
      </c>
      <c r="B318" t="s">
        <v>28</v>
      </c>
      <c r="C318" t="s">
        <v>25</v>
      </c>
      <c r="D318" t="s">
        <v>18</v>
      </c>
      <c r="E318" s="17">
        <v>8508.9699999999993</v>
      </c>
      <c r="F318" s="17">
        <v>1762.57</v>
      </c>
      <c r="G318" s="17">
        <v>1762.57</v>
      </c>
    </row>
    <row r="319" spans="1:7" x14ac:dyDescent="0.3">
      <c r="A319" t="s">
        <v>31</v>
      </c>
      <c r="B319" t="s">
        <v>28</v>
      </c>
      <c r="C319" t="s">
        <v>25</v>
      </c>
      <c r="D319" t="s">
        <v>19</v>
      </c>
      <c r="E319" s="17">
        <v>6464.7</v>
      </c>
      <c r="F319" s="17">
        <v>1560.71</v>
      </c>
      <c r="G319" s="17">
        <v>1560.71</v>
      </c>
    </row>
    <row r="320" spans="1:7" x14ac:dyDescent="0.3">
      <c r="A320" t="s">
        <v>31</v>
      </c>
      <c r="B320" t="s">
        <v>28</v>
      </c>
      <c r="C320" t="s">
        <v>25</v>
      </c>
      <c r="D320" t="s">
        <v>20</v>
      </c>
      <c r="E320" s="17">
        <v>6127.16</v>
      </c>
      <c r="F320" s="17">
        <v>1126.29</v>
      </c>
      <c r="G320" s="17">
        <v>1126.29</v>
      </c>
    </row>
    <row r="321" spans="1:7" x14ac:dyDescent="0.3">
      <c r="A321" t="s">
        <v>31</v>
      </c>
      <c r="B321" t="s">
        <v>28</v>
      </c>
      <c r="C321" t="s">
        <v>25</v>
      </c>
      <c r="D321" t="s">
        <v>21</v>
      </c>
      <c r="E321" s="17">
        <v>14285.11</v>
      </c>
      <c r="F321" s="17">
        <v>3629.33</v>
      </c>
      <c r="G321" s="17">
        <v>3629.33</v>
      </c>
    </row>
    <row r="322" spans="1:7" x14ac:dyDescent="0.3">
      <c r="A322" t="s">
        <v>32</v>
      </c>
      <c r="B322" t="s">
        <v>16</v>
      </c>
      <c r="C322" t="s">
        <v>17</v>
      </c>
      <c r="D322" t="s">
        <v>18</v>
      </c>
      <c r="E322" s="17">
        <v>24408.78</v>
      </c>
      <c r="F322" s="17">
        <v>8040.42</v>
      </c>
      <c r="G322" s="17">
        <v>8040.42</v>
      </c>
    </row>
    <row r="323" spans="1:7" x14ac:dyDescent="0.3">
      <c r="A323" t="s">
        <v>32</v>
      </c>
      <c r="B323" t="s">
        <v>16</v>
      </c>
      <c r="C323" t="s">
        <v>17</v>
      </c>
      <c r="D323" t="s">
        <v>19</v>
      </c>
      <c r="E323" s="17">
        <v>18040.599999999999</v>
      </c>
      <c r="F323" s="17">
        <v>3862.41</v>
      </c>
      <c r="G323" s="17">
        <v>3862.41</v>
      </c>
    </row>
    <row r="324" spans="1:7" x14ac:dyDescent="0.3">
      <c r="A324" t="s">
        <v>32</v>
      </c>
      <c r="B324" t="s">
        <v>16</v>
      </c>
      <c r="C324" t="s">
        <v>17</v>
      </c>
      <c r="D324" t="s">
        <v>20</v>
      </c>
      <c r="E324" s="17">
        <v>21974.61</v>
      </c>
      <c r="F324" s="17">
        <v>6867.880000000001</v>
      </c>
      <c r="G324" s="17">
        <v>6867.88</v>
      </c>
    </row>
    <row r="325" spans="1:7" x14ac:dyDescent="0.3">
      <c r="A325" t="s">
        <v>32</v>
      </c>
      <c r="B325" t="s">
        <v>16</v>
      </c>
      <c r="C325" t="s">
        <v>17</v>
      </c>
      <c r="D325" t="s">
        <v>21</v>
      </c>
      <c r="E325" s="17">
        <v>22072.55</v>
      </c>
      <c r="F325" s="17">
        <v>7394.25</v>
      </c>
      <c r="G325" s="17">
        <v>7394.25</v>
      </c>
    </row>
    <row r="326" spans="1:7" x14ac:dyDescent="0.3">
      <c r="A326" t="s">
        <v>32</v>
      </c>
      <c r="B326" t="s">
        <v>16</v>
      </c>
      <c r="C326" t="s">
        <v>22</v>
      </c>
      <c r="D326" t="s">
        <v>18</v>
      </c>
      <c r="E326" s="17">
        <v>12796.13</v>
      </c>
      <c r="F326" s="17">
        <v>3825.1</v>
      </c>
      <c r="G326" s="17">
        <v>3825.1</v>
      </c>
    </row>
    <row r="327" spans="1:7" x14ac:dyDescent="0.3">
      <c r="A327" t="s">
        <v>32</v>
      </c>
      <c r="B327" t="s">
        <v>16</v>
      </c>
      <c r="C327" t="s">
        <v>22</v>
      </c>
      <c r="D327" t="s">
        <v>19</v>
      </c>
      <c r="E327" s="17">
        <v>6240.36</v>
      </c>
      <c r="F327" s="17">
        <v>1209.83</v>
      </c>
      <c r="G327" s="17">
        <v>1209.83</v>
      </c>
    </row>
    <row r="328" spans="1:7" x14ac:dyDescent="0.3">
      <c r="A328" t="s">
        <v>32</v>
      </c>
      <c r="B328" t="s">
        <v>16</v>
      </c>
      <c r="C328" t="s">
        <v>22</v>
      </c>
      <c r="D328" t="s">
        <v>20</v>
      </c>
      <c r="E328" s="17">
        <v>23644.46</v>
      </c>
      <c r="F328" s="17">
        <v>7305.83</v>
      </c>
      <c r="G328" s="17">
        <v>7305.83</v>
      </c>
    </row>
    <row r="329" spans="1:7" x14ac:dyDescent="0.3">
      <c r="A329" t="s">
        <v>32</v>
      </c>
      <c r="B329" t="s">
        <v>16</v>
      </c>
      <c r="C329" t="s">
        <v>22</v>
      </c>
      <c r="D329" t="s">
        <v>21</v>
      </c>
      <c r="E329" s="17">
        <v>20908.66</v>
      </c>
      <c r="F329" s="17">
        <v>6025.6899999999987</v>
      </c>
      <c r="G329" s="17">
        <v>6025.69</v>
      </c>
    </row>
    <row r="330" spans="1:7" x14ac:dyDescent="0.3">
      <c r="A330" t="s">
        <v>32</v>
      </c>
      <c r="B330" t="s">
        <v>16</v>
      </c>
      <c r="C330" t="s">
        <v>23</v>
      </c>
      <c r="D330" t="s">
        <v>18</v>
      </c>
      <c r="E330" s="17">
        <v>3703.89</v>
      </c>
      <c r="F330" s="17">
        <v>1296.18</v>
      </c>
      <c r="G330" s="17">
        <v>1296.18</v>
      </c>
    </row>
    <row r="331" spans="1:7" x14ac:dyDescent="0.3">
      <c r="A331" t="s">
        <v>32</v>
      </c>
      <c r="B331" t="s">
        <v>16</v>
      </c>
      <c r="C331" t="s">
        <v>23</v>
      </c>
      <c r="D331" t="s">
        <v>19</v>
      </c>
      <c r="E331" s="17">
        <v>3233.01</v>
      </c>
      <c r="F331" s="17">
        <v>712.17999999999984</v>
      </c>
      <c r="G331" s="17">
        <v>712.18</v>
      </c>
    </row>
    <row r="332" spans="1:7" x14ac:dyDescent="0.3">
      <c r="A332" t="s">
        <v>32</v>
      </c>
      <c r="B332" t="s">
        <v>16</v>
      </c>
      <c r="C332" t="s">
        <v>23</v>
      </c>
      <c r="D332" t="s">
        <v>20</v>
      </c>
      <c r="E332" s="17">
        <v>14945.31</v>
      </c>
      <c r="F332" s="17">
        <v>3916.1999999999989</v>
      </c>
      <c r="G332" s="17">
        <v>3916.2</v>
      </c>
    </row>
    <row r="333" spans="1:7" x14ac:dyDescent="0.3">
      <c r="A333" t="s">
        <v>32</v>
      </c>
      <c r="B333" t="s">
        <v>16</v>
      </c>
      <c r="C333" t="s">
        <v>23</v>
      </c>
      <c r="D333" t="s">
        <v>21</v>
      </c>
      <c r="E333" s="17">
        <v>24860.12</v>
      </c>
      <c r="F333" s="17">
        <v>5269.8999999999978</v>
      </c>
      <c r="G333" s="17">
        <v>5269.9</v>
      </c>
    </row>
    <row r="334" spans="1:7" x14ac:dyDescent="0.3">
      <c r="A334" t="s">
        <v>32</v>
      </c>
      <c r="B334" t="s">
        <v>16</v>
      </c>
      <c r="C334" t="s">
        <v>24</v>
      </c>
      <c r="D334" t="s">
        <v>18</v>
      </c>
      <c r="E334" s="17">
        <v>19582.2</v>
      </c>
      <c r="F334" s="17">
        <v>6730.52</v>
      </c>
      <c r="G334" s="17">
        <v>6730.52</v>
      </c>
    </row>
    <row r="335" spans="1:7" x14ac:dyDescent="0.3">
      <c r="A335" t="s">
        <v>32</v>
      </c>
      <c r="B335" t="s">
        <v>16</v>
      </c>
      <c r="C335" t="s">
        <v>24</v>
      </c>
      <c r="D335" t="s">
        <v>19</v>
      </c>
      <c r="E335" s="17">
        <v>20187.04</v>
      </c>
      <c r="F335" s="17">
        <v>4863.7799999999988</v>
      </c>
      <c r="G335" s="17">
        <v>4863.78</v>
      </c>
    </row>
    <row r="336" spans="1:7" x14ac:dyDescent="0.3">
      <c r="A336" t="s">
        <v>32</v>
      </c>
      <c r="B336" t="s">
        <v>16</v>
      </c>
      <c r="C336" t="s">
        <v>24</v>
      </c>
      <c r="D336" t="s">
        <v>20</v>
      </c>
      <c r="E336" s="17">
        <v>14019.17</v>
      </c>
      <c r="F336" s="17">
        <v>4228.7299999999996</v>
      </c>
      <c r="G336" s="17">
        <v>4228.7299999999996</v>
      </c>
    </row>
    <row r="337" spans="1:7" x14ac:dyDescent="0.3">
      <c r="A337" t="s">
        <v>32</v>
      </c>
      <c r="B337" t="s">
        <v>16</v>
      </c>
      <c r="C337" t="s">
        <v>24</v>
      </c>
      <c r="D337" t="s">
        <v>21</v>
      </c>
      <c r="E337" s="17">
        <v>12182.58</v>
      </c>
      <c r="F337" s="17">
        <v>5022.21</v>
      </c>
      <c r="G337" s="17">
        <v>5022.21</v>
      </c>
    </row>
    <row r="338" spans="1:7" x14ac:dyDescent="0.3">
      <c r="A338" t="s">
        <v>32</v>
      </c>
      <c r="B338" t="s">
        <v>16</v>
      </c>
      <c r="C338" t="s">
        <v>25</v>
      </c>
      <c r="D338" t="s">
        <v>18</v>
      </c>
      <c r="E338" s="17">
        <v>24770.720000000001</v>
      </c>
      <c r="F338" s="17">
        <v>6501.1399999999994</v>
      </c>
      <c r="G338" s="17">
        <v>6501.14</v>
      </c>
    </row>
    <row r="339" spans="1:7" x14ac:dyDescent="0.3">
      <c r="A339" t="s">
        <v>32</v>
      </c>
      <c r="B339" t="s">
        <v>16</v>
      </c>
      <c r="C339" t="s">
        <v>25</v>
      </c>
      <c r="D339" t="s">
        <v>19</v>
      </c>
      <c r="E339" s="17">
        <v>16283.63</v>
      </c>
      <c r="F339" s="17">
        <v>5611.34</v>
      </c>
      <c r="G339" s="17">
        <v>5611.34</v>
      </c>
    </row>
    <row r="340" spans="1:7" x14ac:dyDescent="0.3">
      <c r="A340" t="s">
        <v>32</v>
      </c>
      <c r="B340" t="s">
        <v>16</v>
      </c>
      <c r="C340" t="s">
        <v>25</v>
      </c>
      <c r="D340" t="s">
        <v>20</v>
      </c>
      <c r="E340" s="17">
        <v>19022.05</v>
      </c>
      <c r="F340" s="17">
        <v>8290.75</v>
      </c>
      <c r="G340" s="17">
        <v>8290.75</v>
      </c>
    </row>
    <row r="341" spans="1:7" x14ac:dyDescent="0.3">
      <c r="A341" t="s">
        <v>32</v>
      </c>
      <c r="B341" t="s">
        <v>16</v>
      </c>
      <c r="C341" t="s">
        <v>25</v>
      </c>
      <c r="D341" t="s">
        <v>21</v>
      </c>
      <c r="E341" s="17">
        <v>6779.12</v>
      </c>
      <c r="F341" s="17">
        <v>1606.49</v>
      </c>
      <c r="G341" s="17">
        <v>1606.49</v>
      </c>
    </row>
    <row r="342" spans="1:7" x14ac:dyDescent="0.3">
      <c r="A342" t="s">
        <v>32</v>
      </c>
      <c r="B342" t="s">
        <v>26</v>
      </c>
      <c r="C342" t="s">
        <v>17</v>
      </c>
      <c r="D342" t="s">
        <v>18</v>
      </c>
      <c r="E342" s="17">
        <v>17189.849999999999</v>
      </c>
      <c r="F342" s="17">
        <v>3823.119999999999</v>
      </c>
      <c r="G342" s="17">
        <v>3823.12</v>
      </c>
    </row>
    <row r="343" spans="1:7" x14ac:dyDescent="0.3">
      <c r="A343" t="s">
        <v>32</v>
      </c>
      <c r="B343" t="s">
        <v>26</v>
      </c>
      <c r="C343" t="s">
        <v>17</v>
      </c>
      <c r="D343" t="s">
        <v>19</v>
      </c>
      <c r="E343" s="17">
        <v>5997.71</v>
      </c>
      <c r="F343" s="17">
        <v>1201.150000000001</v>
      </c>
      <c r="G343" s="17">
        <v>1201.1500000000001</v>
      </c>
    </row>
    <row r="344" spans="1:7" x14ac:dyDescent="0.3">
      <c r="A344" t="s">
        <v>32</v>
      </c>
      <c r="B344" t="s">
        <v>26</v>
      </c>
      <c r="C344" t="s">
        <v>17</v>
      </c>
      <c r="D344" t="s">
        <v>20</v>
      </c>
      <c r="E344" s="17">
        <v>2061.54</v>
      </c>
      <c r="F344" s="17">
        <v>621.82999999999993</v>
      </c>
      <c r="G344" s="17">
        <v>621.83000000000004</v>
      </c>
    </row>
    <row r="345" spans="1:7" x14ac:dyDescent="0.3">
      <c r="A345" t="s">
        <v>32</v>
      </c>
      <c r="B345" t="s">
        <v>26</v>
      </c>
      <c r="C345" t="s">
        <v>17</v>
      </c>
      <c r="D345" t="s">
        <v>21</v>
      </c>
      <c r="E345" s="17">
        <v>15657.66</v>
      </c>
      <c r="F345" s="17">
        <v>4049.7000000000012</v>
      </c>
      <c r="G345" s="17">
        <v>4049.7</v>
      </c>
    </row>
    <row r="346" spans="1:7" x14ac:dyDescent="0.3">
      <c r="A346" t="s">
        <v>32</v>
      </c>
      <c r="B346" t="s">
        <v>26</v>
      </c>
      <c r="C346" t="s">
        <v>22</v>
      </c>
      <c r="D346" t="s">
        <v>18</v>
      </c>
      <c r="E346" s="17">
        <v>7323.95</v>
      </c>
      <c r="F346" s="17">
        <v>2716.29</v>
      </c>
      <c r="G346" s="17">
        <v>2716.29</v>
      </c>
    </row>
    <row r="347" spans="1:7" x14ac:dyDescent="0.3">
      <c r="A347" t="s">
        <v>32</v>
      </c>
      <c r="B347" t="s">
        <v>26</v>
      </c>
      <c r="C347" t="s">
        <v>22</v>
      </c>
      <c r="D347" t="s">
        <v>19</v>
      </c>
      <c r="E347" s="17">
        <v>18168.71</v>
      </c>
      <c r="F347" s="17">
        <v>5497.6399999999994</v>
      </c>
      <c r="G347" s="17">
        <v>5497.64</v>
      </c>
    </row>
    <row r="348" spans="1:7" x14ac:dyDescent="0.3">
      <c r="A348" t="s">
        <v>32</v>
      </c>
      <c r="B348" t="s">
        <v>26</v>
      </c>
      <c r="C348" t="s">
        <v>22</v>
      </c>
      <c r="D348" t="s">
        <v>20</v>
      </c>
      <c r="E348" s="17">
        <v>17809.849999999999</v>
      </c>
      <c r="F348" s="17">
        <v>7648.5499999999993</v>
      </c>
      <c r="G348" s="17">
        <v>7648.55</v>
      </c>
    </row>
    <row r="349" spans="1:7" x14ac:dyDescent="0.3">
      <c r="A349" t="s">
        <v>32</v>
      </c>
      <c r="B349" t="s">
        <v>26</v>
      </c>
      <c r="C349" t="s">
        <v>22</v>
      </c>
      <c r="D349" t="s">
        <v>21</v>
      </c>
      <c r="E349" s="17">
        <v>20120.04</v>
      </c>
      <c r="F349" s="17">
        <v>7017.18</v>
      </c>
      <c r="G349" s="17">
        <v>7017.18</v>
      </c>
    </row>
    <row r="350" spans="1:7" x14ac:dyDescent="0.3">
      <c r="A350" t="s">
        <v>32</v>
      </c>
      <c r="B350" t="s">
        <v>26</v>
      </c>
      <c r="C350" t="s">
        <v>23</v>
      </c>
      <c r="D350" t="s">
        <v>18</v>
      </c>
      <c r="E350" s="17">
        <v>17207.21</v>
      </c>
      <c r="F350" s="17">
        <v>7435.07</v>
      </c>
      <c r="G350" s="17">
        <v>7435.07</v>
      </c>
    </row>
    <row r="351" spans="1:7" x14ac:dyDescent="0.3">
      <c r="A351" t="s">
        <v>32</v>
      </c>
      <c r="B351" t="s">
        <v>26</v>
      </c>
      <c r="C351" t="s">
        <v>23</v>
      </c>
      <c r="D351" t="s">
        <v>19</v>
      </c>
      <c r="E351" s="17">
        <v>11778.2</v>
      </c>
      <c r="F351" s="17">
        <v>3851.85</v>
      </c>
      <c r="G351" s="17">
        <v>3851.85</v>
      </c>
    </row>
    <row r="352" spans="1:7" x14ac:dyDescent="0.3">
      <c r="A352" t="s">
        <v>32</v>
      </c>
      <c r="B352" t="s">
        <v>26</v>
      </c>
      <c r="C352" t="s">
        <v>23</v>
      </c>
      <c r="D352" t="s">
        <v>20</v>
      </c>
      <c r="E352" s="17">
        <v>16895.599999999999</v>
      </c>
      <c r="F352" s="17">
        <v>7185.2099999999991</v>
      </c>
      <c r="G352" s="17">
        <v>7185.21</v>
      </c>
    </row>
    <row r="353" spans="1:7" x14ac:dyDescent="0.3">
      <c r="A353" t="s">
        <v>32</v>
      </c>
      <c r="B353" t="s">
        <v>26</v>
      </c>
      <c r="C353" t="s">
        <v>23</v>
      </c>
      <c r="D353" t="s">
        <v>21</v>
      </c>
      <c r="E353" s="17">
        <v>21012.52</v>
      </c>
      <c r="F353" s="17">
        <v>4187.3899999999994</v>
      </c>
      <c r="G353" s="17">
        <v>4187.3900000000003</v>
      </c>
    </row>
    <row r="354" spans="1:7" x14ac:dyDescent="0.3">
      <c r="A354" t="s">
        <v>32</v>
      </c>
      <c r="B354" t="s">
        <v>26</v>
      </c>
      <c r="C354" t="s">
        <v>24</v>
      </c>
      <c r="D354" t="s">
        <v>18</v>
      </c>
      <c r="E354" s="17">
        <v>5816.22</v>
      </c>
      <c r="F354" s="17">
        <v>1529.99</v>
      </c>
      <c r="G354" s="17">
        <v>1529.99</v>
      </c>
    </row>
    <row r="355" spans="1:7" x14ac:dyDescent="0.3">
      <c r="A355" t="s">
        <v>32</v>
      </c>
      <c r="B355" t="s">
        <v>26</v>
      </c>
      <c r="C355" t="s">
        <v>24</v>
      </c>
      <c r="D355" t="s">
        <v>19</v>
      </c>
      <c r="E355" s="17">
        <v>19226.03</v>
      </c>
      <c r="F355" s="17">
        <v>6415.4599999999991</v>
      </c>
      <c r="G355" s="17">
        <v>6415.46</v>
      </c>
    </row>
    <row r="356" spans="1:7" x14ac:dyDescent="0.3">
      <c r="A356" t="s">
        <v>32</v>
      </c>
      <c r="B356" t="s">
        <v>26</v>
      </c>
      <c r="C356" t="s">
        <v>24</v>
      </c>
      <c r="D356" t="s">
        <v>20</v>
      </c>
      <c r="E356" s="17">
        <v>8638.0400000000009</v>
      </c>
      <c r="F356" s="17">
        <v>1844.87</v>
      </c>
      <c r="G356" s="17">
        <v>1844.87</v>
      </c>
    </row>
    <row r="357" spans="1:7" x14ac:dyDescent="0.3">
      <c r="A357" t="s">
        <v>32</v>
      </c>
      <c r="B357" t="s">
        <v>26</v>
      </c>
      <c r="C357" t="s">
        <v>24</v>
      </c>
      <c r="D357" t="s">
        <v>21</v>
      </c>
      <c r="E357" s="17">
        <v>17839.59</v>
      </c>
      <c r="F357" s="17">
        <v>6581.5299999999988</v>
      </c>
      <c r="G357" s="17">
        <v>6581.53</v>
      </c>
    </row>
    <row r="358" spans="1:7" x14ac:dyDescent="0.3">
      <c r="A358" t="s">
        <v>32</v>
      </c>
      <c r="B358" t="s">
        <v>26</v>
      </c>
      <c r="C358" t="s">
        <v>25</v>
      </c>
      <c r="D358" t="s">
        <v>18</v>
      </c>
      <c r="E358" s="17">
        <v>23681.55</v>
      </c>
      <c r="F358" s="17">
        <v>7462.7099999999991</v>
      </c>
      <c r="G358" s="17">
        <v>7462.71</v>
      </c>
    </row>
    <row r="359" spans="1:7" x14ac:dyDescent="0.3">
      <c r="A359" t="s">
        <v>32</v>
      </c>
      <c r="B359" t="s">
        <v>26</v>
      </c>
      <c r="C359" t="s">
        <v>25</v>
      </c>
      <c r="D359" t="s">
        <v>19</v>
      </c>
      <c r="E359" s="17">
        <v>13357.29</v>
      </c>
      <c r="F359" s="17">
        <v>2694.42</v>
      </c>
      <c r="G359" s="17">
        <v>2694.42</v>
      </c>
    </row>
    <row r="360" spans="1:7" x14ac:dyDescent="0.3">
      <c r="A360" t="s">
        <v>32</v>
      </c>
      <c r="B360" t="s">
        <v>26</v>
      </c>
      <c r="C360" t="s">
        <v>25</v>
      </c>
      <c r="D360" t="s">
        <v>20</v>
      </c>
      <c r="E360" s="17">
        <v>2916.8</v>
      </c>
      <c r="F360" s="17">
        <v>865.26000000000022</v>
      </c>
      <c r="G360" s="17">
        <v>865.26</v>
      </c>
    </row>
    <row r="361" spans="1:7" x14ac:dyDescent="0.3">
      <c r="A361" t="s">
        <v>32</v>
      </c>
      <c r="B361" t="s">
        <v>26</v>
      </c>
      <c r="C361" t="s">
        <v>25</v>
      </c>
      <c r="D361" t="s">
        <v>21</v>
      </c>
      <c r="E361" s="17">
        <v>9413.4</v>
      </c>
      <c r="F361" s="17">
        <v>2330.75</v>
      </c>
      <c r="G361" s="17">
        <v>2330.75</v>
      </c>
    </row>
    <row r="362" spans="1:7" x14ac:dyDescent="0.3">
      <c r="A362" t="s">
        <v>32</v>
      </c>
      <c r="B362" t="s">
        <v>27</v>
      </c>
      <c r="C362" t="s">
        <v>17</v>
      </c>
      <c r="D362" t="s">
        <v>18</v>
      </c>
      <c r="E362" s="17">
        <v>4100.5200000000004</v>
      </c>
      <c r="F362" s="17">
        <v>1803.06</v>
      </c>
      <c r="G362" s="17">
        <v>1803.06</v>
      </c>
    </row>
    <row r="363" spans="1:7" x14ac:dyDescent="0.3">
      <c r="A363" t="s">
        <v>32</v>
      </c>
      <c r="B363" t="s">
        <v>27</v>
      </c>
      <c r="C363" t="s">
        <v>17</v>
      </c>
      <c r="D363" t="s">
        <v>19</v>
      </c>
      <c r="E363" s="17">
        <v>21227.05</v>
      </c>
      <c r="F363" s="17">
        <v>7117.51</v>
      </c>
      <c r="G363" s="17">
        <v>7117.51</v>
      </c>
    </row>
    <row r="364" spans="1:7" x14ac:dyDescent="0.3">
      <c r="A364" t="s">
        <v>32</v>
      </c>
      <c r="B364" t="s">
        <v>27</v>
      </c>
      <c r="C364" t="s">
        <v>17</v>
      </c>
      <c r="D364" t="s">
        <v>20</v>
      </c>
      <c r="E364" s="17">
        <v>23868.080000000002</v>
      </c>
      <c r="F364" s="17">
        <v>10737.88</v>
      </c>
      <c r="G364" s="17">
        <v>10737.88</v>
      </c>
    </row>
    <row r="365" spans="1:7" x14ac:dyDescent="0.3">
      <c r="A365" t="s">
        <v>32</v>
      </c>
      <c r="B365" t="s">
        <v>27</v>
      </c>
      <c r="C365" t="s">
        <v>17</v>
      </c>
      <c r="D365" t="s">
        <v>21</v>
      </c>
      <c r="E365" s="17">
        <v>17462.48</v>
      </c>
      <c r="F365" s="17">
        <v>4413.9599999999991</v>
      </c>
      <c r="G365" s="17">
        <v>4413.96</v>
      </c>
    </row>
    <row r="366" spans="1:7" x14ac:dyDescent="0.3">
      <c r="A366" t="s">
        <v>32</v>
      </c>
      <c r="B366" t="s">
        <v>27</v>
      </c>
      <c r="C366" t="s">
        <v>22</v>
      </c>
      <c r="D366" t="s">
        <v>18</v>
      </c>
      <c r="E366" s="17">
        <v>2925.33</v>
      </c>
      <c r="F366" s="17">
        <v>1123.8900000000001</v>
      </c>
      <c r="G366" s="17">
        <v>1123.8900000000001</v>
      </c>
    </row>
    <row r="367" spans="1:7" x14ac:dyDescent="0.3">
      <c r="A367" t="s">
        <v>32</v>
      </c>
      <c r="B367" t="s">
        <v>27</v>
      </c>
      <c r="C367" t="s">
        <v>22</v>
      </c>
      <c r="D367" t="s">
        <v>19</v>
      </c>
      <c r="E367" s="17">
        <v>12821.52</v>
      </c>
      <c r="F367" s="17">
        <v>4563.2799999999988</v>
      </c>
      <c r="G367" s="17">
        <v>4563.28</v>
      </c>
    </row>
    <row r="368" spans="1:7" x14ac:dyDescent="0.3">
      <c r="A368" t="s">
        <v>32</v>
      </c>
      <c r="B368" t="s">
        <v>27</v>
      </c>
      <c r="C368" t="s">
        <v>22</v>
      </c>
      <c r="D368" t="s">
        <v>20</v>
      </c>
      <c r="E368" s="17">
        <v>23069.67</v>
      </c>
      <c r="F368" s="17">
        <v>5283</v>
      </c>
      <c r="G368" s="17">
        <v>5283</v>
      </c>
    </row>
    <row r="369" spans="1:7" x14ac:dyDescent="0.3">
      <c r="A369" t="s">
        <v>32</v>
      </c>
      <c r="B369" t="s">
        <v>27</v>
      </c>
      <c r="C369" t="s">
        <v>22</v>
      </c>
      <c r="D369" t="s">
        <v>21</v>
      </c>
      <c r="E369" s="17">
        <v>15462.58</v>
      </c>
      <c r="F369" s="17">
        <v>5433.42</v>
      </c>
      <c r="G369" s="17">
        <v>5433.42</v>
      </c>
    </row>
    <row r="370" spans="1:7" x14ac:dyDescent="0.3">
      <c r="A370" t="s">
        <v>32</v>
      </c>
      <c r="B370" t="s">
        <v>27</v>
      </c>
      <c r="C370" t="s">
        <v>23</v>
      </c>
      <c r="D370" t="s">
        <v>18</v>
      </c>
      <c r="E370" s="17">
        <v>13309.69</v>
      </c>
      <c r="F370" s="17">
        <v>2723.6299999999992</v>
      </c>
      <c r="G370" s="17">
        <v>2723.63</v>
      </c>
    </row>
    <row r="371" spans="1:7" x14ac:dyDescent="0.3">
      <c r="A371" t="s">
        <v>32</v>
      </c>
      <c r="B371" t="s">
        <v>27</v>
      </c>
      <c r="C371" t="s">
        <v>23</v>
      </c>
      <c r="D371" t="s">
        <v>19</v>
      </c>
      <c r="E371" s="17">
        <v>10003.1</v>
      </c>
      <c r="F371" s="17">
        <v>2700.77</v>
      </c>
      <c r="G371" s="17">
        <v>2700.77</v>
      </c>
    </row>
    <row r="372" spans="1:7" x14ac:dyDescent="0.3">
      <c r="A372" t="s">
        <v>32</v>
      </c>
      <c r="B372" t="s">
        <v>27</v>
      </c>
      <c r="C372" t="s">
        <v>23</v>
      </c>
      <c r="D372" t="s">
        <v>20</v>
      </c>
      <c r="E372" s="17">
        <v>17413.07</v>
      </c>
      <c r="F372" s="17">
        <v>7167.01</v>
      </c>
      <c r="G372" s="17">
        <v>7167.01</v>
      </c>
    </row>
    <row r="373" spans="1:7" x14ac:dyDescent="0.3">
      <c r="A373" t="s">
        <v>32</v>
      </c>
      <c r="B373" t="s">
        <v>27</v>
      </c>
      <c r="C373" t="s">
        <v>23</v>
      </c>
      <c r="D373" t="s">
        <v>21</v>
      </c>
      <c r="E373" s="17">
        <v>9585.48</v>
      </c>
      <c r="F373" s="17">
        <v>3520.67</v>
      </c>
      <c r="G373" s="17">
        <v>3520.67</v>
      </c>
    </row>
    <row r="374" spans="1:7" x14ac:dyDescent="0.3">
      <c r="A374" t="s">
        <v>32</v>
      </c>
      <c r="B374" t="s">
        <v>27</v>
      </c>
      <c r="C374" t="s">
        <v>24</v>
      </c>
      <c r="D374" t="s">
        <v>18</v>
      </c>
      <c r="E374" s="17">
        <v>8629.01</v>
      </c>
      <c r="F374" s="17">
        <v>3755.360000000001</v>
      </c>
      <c r="G374" s="17">
        <v>3755.36</v>
      </c>
    </row>
    <row r="375" spans="1:7" x14ac:dyDescent="0.3">
      <c r="A375" t="s">
        <v>32</v>
      </c>
      <c r="B375" t="s">
        <v>27</v>
      </c>
      <c r="C375" t="s">
        <v>24</v>
      </c>
      <c r="D375" t="s">
        <v>19</v>
      </c>
      <c r="E375" s="17">
        <v>20712.02</v>
      </c>
      <c r="F375" s="17">
        <v>6804.4399999999987</v>
      </c>
      <c r="G375" s="17">
        <v>6804.44</v>
      </c>
    </row>
    <row r="376" spans="1:7" x14ac:dyDescent="0.3">
      <c r="A376" t="s">
        <v>32</v>
      </c>
      <c r="B376" t="s">
        <v>27</v>
      </c>
      <c r="C376" t="s">
        <v>24</v>
      </c>
      <c r="D376" t="s">
        <v>20</v>
      </c>
      <c r="E376" s="17">
        <v>12461</v>
      </c>
      <c r="F376" s="17">
        <v>3301.16</v>
      </c>
      <c r="G376" s="17">
        <v>3301.16</v>
      </c>
    </row>
    <row r="377" spans="1:7" x14ac:dyDescent="0.3">
      <c r="A377" t="s">
        <v>32</v>
      </c>
      <c r="B377" t="s">
        <v>27</v>
      </c>
      <c r="C377" t="s">
        <v>24</v>
      </c>
      <c r="D377" t="s">
        <v>21</v>
      </c>
      <c r="E377" s="17">
        <v>9435.2999999999993</v>
      </c>
      <c r="F377" s="17">
        <v>4169.93</v>
      </c>
      <c r="G377" s="17">
        <v>4169.93</v>
      </c>
    </row>
    <row r="378" spans="1:7" x14ac:dyDescent="0.3">
      <c r="A378" t="s">
        <v>32</v>
      </c>
      <c r="B378" t="s">
        <v>27</v>
      </c>
      <c r="C378" t="s">
        <v>25</v>
      </c>
      <c r="D378" t="s">
        <v>18</v>
      </c>
      <c r="E378" s="17">
        <v>11296.03</v>
      </c>
      <c r="F378" s="17">
        <v>3602.77</v>
      </c>
      <c r="G378" s="17">
        <v>3602.77</v>
      </c>
    </row>
    <row r="379" spans="1:7" x14ac:dyDescent="0.3">
      <c r="A379" t="s">
        <v>32</v>
      </c>
      <c r="B379" t="s">
        <v>27</v>
      </c>
      <c r="C379" t="s">
        <v>25</v>
      </c>
      <c r="D379" t="s">
        <v>19</v>
      </c>
      <c r="E379" s="17">
        <v>24726.74</v>
      </c>
      <c r="F379" s="17">
        <v>8841.5</v>
      </c>
      <c r="G379" s="17">
        <v>8841.5</v>
      </c>
    </row>
    <row r="380" spans="1:7" x14ac:dyDescent="0.3">
      <c r="A380" t="s">
        <v>32</v>
      </c>
      <c r="B380" t="s">
        <v>27</v>
      </c>
      <c r="C380" t="s">
        <v>25</v>
      </c>
      <c r="D380" t="s">
        <v>20</v>
      </c>
      <c r="E380" s="17">
        <v>14479.65</v>
      </c>
      <c r="F380" s="17">
        <v>4221.93</v>
      </c>
      <c r="G380" s="17">
        <v>4221.93</v>
      </c>
    </row>
    <row r="381" spans="1:7" x14ac:dyDescent="0.3">
      <c r="A381" t="s">
        <v>32</v>
      </c>
      <c r="B381" t="s">
        <v>27</v>
      </c>
      <c r="C381" t="s">
        <v>25</v>
      </c>
      <c r="D381" t="s">
        <v>21</v>
      </c>
      <c r="E381" s="17">
        <v>6314.4</v>
      </c>
      <c r="F381" s="17">
        <v>1753.39</v>
      </c>
      <c r="G381" s="17">
        <v>1753.39</v>
      </c>
    </row>
    <row r="382" spans="1:7" x14ac:dyDescent="0.3">
      <c r="A382" t="s">
        <v>32</v>
      </c>
      <c r="B382" t="s">
        <v>28</v>
      </c>
      <c r="C382" t="s">
        <v>17</v>
      </c>
      <c r="D382" t="s">
        <v>18</v>
      </c>
      <c r="E382" s="17">
        <v>19398.189999999999</v>
      </c>
      <c r="F382" s="17">
        <v>6767.26</v>
      </c>
      <c r="G382" s="17">
        <v>6767.26</v>
      </c>
    </row>
    <row r="383" spans="1:7" x14ac:dyDescent="0.3">
      <c r="A383" t="s">
        <v>32</v>
      </c>
      <c r="B383" t="s">
        <v>28</v>
      </c>
      <c r="C383" t="s">
        <v>17</v>
      </c>
      <c r="D383" t="s">
        <v>19</v>
      </c>
      <c r="E383" s="17">
        <v>19479.78</v>
      </c>
      <c r="F383" s="17">
        <v>4576.9799999999996</v>
      </c>
      <c r="G383" s="17">
        <v>4576.9799999999996</v>
      </c>
    </row>
    <row r="384" spans="1:7" x14ac:dyDescent="0.3">
      <c r="A384" t="s">
        <v>32</v>
      </c>
      <c r="B384" t="s">
        <v>28</v>
      </c>
      <c r="C384" t="s">
        <v>17</v>
      </c>
      <c r="D384" t="s">
        <v>20</v>
      </c>
      <c r="E384" s="17">
        <v>14632.05</v>
      </c>
      <c r="F384" s="17">
        <v>6298.68</v>
      </c>
      <c r="G384" s="17">
        <v>6298.68</v>
      </c>
    </row>
    <row r="385" spans="1:7" x14ac:dyDescent="0.3">
      <c r="A385" t="s">
        <v>32</v>
      </c>
      <c r="B385" t="s">
        <v>28</v>
      </c>
      <c r="C385" t="s">
        <v>17</v>
      </c>
      <c r="D385" t="s">
        <v>21</v>
      </c>
      <c r="E385" s="17">
        <v>12076.67</v>
      </c>
      <c r="F385" s="17">
        <v>4450.59</v>
      </c>
      <c r="G385" s="17">
        <v>4450.59</v>
      </c>
    </row>
    <row r="386" spans="1:7" x14ac:dyDescent="0.3">
      <c r="A386" t="s">
        <v>32</v>
      </c>
      <c r="B386" t="s">
        <v>28</v>
      </c>
      <c r="C386" t="s">
        <v>22</v>
      </c>
      <c r="D386" t="s">
        <v>18</v>
      </c>
      <c r="E386" s="17">
        <v>4792.8</v>
      </c>
      <c r="F386" s="17">
        <v>2122.0100000000002</v>
      </c>
      <c r="G386" s="17">
        <v>2122.0100000000002</v>
      </c>
    </row>
    <row r="387" spans="1:7" x14ac:dyDescent="0.3">
      <c r="A387" t="s">
        <v>32</v>
      </c>
      <c r="B387" t="s">
        <v>28</v>
      </c>
      <c r="C387" t="s">
        <v>22</v>
      </c>
      <c r="D387" t="s">
        <v>19</v>
      </c>
      <c r="E387" s="17">
        <v>16004.05</v>
      </c>
      <c r="F387" s="17">
        <v>3914.76</v>
      </c>
      <c r="G387" s="17">
        <v>3914.76</v>
      </c>
    </row>
    <row r="388" spans="1:7" x14ac:dyDescent="0.3">
      <c r="A388" t="s">
        <v>32</v>
      </c>
      <c r="B388" t="s">
        <v>28</v>
      </c>
      <c r="C388" t="s">
        <v>22</v>
      </c>
      <c r="D388" t="s">
        <v>20</v>
      </c>
      <c r="E388" s="17">
        <v>5642.7</v>
      </c>
      <c r="F388" s="17">
        <v>1854.91</v>
      </c>
      <c r="G388" s="17">
        <v>1854.91</v>
      </c>
    </row>
    <row r="389" spans="1:7" x14ac:dyDescent="0.3">
      <c r="A389" t="s">
        <v>32</v>
      </c>
      <c r="B389" t="s">
        <v>28</v>
      </c>
      <c r="C389" t="s">
        <v>22</v>
      </c>
      <c r="D389" t="s">
        <v>21</v>
      </c>
      <c r="E389" s="17">
        <v>14701.78</v>
      </c>
      <c r="F389" s="17">
        <v>3016.309999999999</v>
      </c>
      <c r="G389" s="17">
        <v>3016.31</v>
      </c>
    </row>
    <row r="390" spans="1:7" x14ac:dyDescent="0.3">
      <c r="A390" t="s">
        <v>32</v>
      </c>
      <c r="B390" t="s">
        <v>28</v>
      </c>
      <c r="C390" t="s">
        <v>23</v>
      </c>
      <c r="D390" t="s">
        <v>18</v>
      </c>
      <c r="E390" s="17">
        <v>24821.91</v>
      </c>
      <c r="F390" s="17">
        <v>10586.32</v>
      </c>
      <c r="G390" s="17">
        <v>10586.32</v>
      </c>
    </row>
    <row r="391" spans="1:7" x14ac:dyDescent="0.3">
      <c r="A391" t="s">
        <v>32</v>
      </c>
      <c r="B391" t="s">
        <v>28</v>
      </c>
      <c r="C391" t="s">
        <v>23</v>
      </c>
      <c r="D391" t="s">
        <v>19</v>
      </c>
      <c r="E391" s="17">
        <v>12613.3</v>
      </c>
      <c r="F391" s="17">
        <v>2670.440000000001</v>
      </c>
      <c r="G391" s="17">
        <v>2670.44</v>
      </c>
    </row>
    <row r="392" spans="1:7" x14ac:dyDescent="0.3">
      <c r="A392" t="s">
        <v>32</v>
      </c>
      <c r="B392" t="s">
        <v>28</v>
      </c>
      <c r="C392" t="s">
        <v>23</v>
      </c>
      <c r="D392" t="s">
        <v>20</v>
      </c>
      <c r="E392" s="17">
        <v>21139.29</v>
      </c>
      <c r="F392" s="17">
        <v>6649.6</v>
      </c>
      <c r="G392" s="17">
        <v>6649.6</v>
      </c>
    </row>
    <row r="393" spans="1:7" x14ac:dyDescent="0.3">
      <c r="A393" t="s">
        <v>32</v>
      </c>
      <c r="B393" t="s">
        <v>28</v>
      </c>
      <c r="C393" t="s">
        <v>23</v>
      </c>
      <c r="D393" t="s">
        <v>21</v>
      </c>
      <c r="E393" s="17">
        <v>18481.88</v>
      </c>
      <c r="F393" s="17">
        <v>5866.0600000000013</v>
      </c>
      <c r="G393" s="17">
        <v>5866.06</v>
      </c>
    </row>
    <row r="394" spans="1:7" x14ac:dyDescent="0.3">
      <c r="A394" t="s">
        <v>32</v>
      </c>
      <c r="B394" t="s">
        <v>28</v>
      </c>
      <c r="C394" t="s">
        <v>24</v>
      </c>
      <c r="D394" t="s">
        <v>18</v>
      </c>
      <c r="E394" s="17">
        <v>8288.77</v>
      </c>
      <c r="F394" s="17">
        <v>3360.059999999999</v>
      </c>
      <c r="G394" s="17">
        <v>3360.06</v>
      </c>
    </row>
    <row r="395" spans="1:7" x14ac:dyDescent="0.3">
      <c r="A395" t="s">
        <v>32</v>
      </c>
      <c r="B395" t="s">
        <v>28</v>
      </c>
      <c r="C395" t="s">
        <v>24</v>
      </c>
      <c r="D395" t="s">
        <v>19</v>
      </c>
      <c r="E395" s="17">
        <v>24545.63</v>
      </c>
      <c r="F395" s="17">
        <v>6033.5</v>
      </c>
      <c r="G395" s="17">
        <v>6033.5</v>
      </c>
    </row>
    <row r="396" spans="1:7" x14ac:dyDescent="0.3">
      <c r="A396" t="s">
        <v>32</v>
      </c>
      <c r="B396" t="s">
        <v>28</v>
      </c>
      <c r="C396" t="s">
        <v>24</v>
      </c>
      <c r="D396" t="s">
        <v>20</v>
      </c>
      <c r="E396" s="17">
        <v>14679.1</v>
      </c>
      <c r="F396" s="17">
        <v>4162.5300000000007</v>
      </c>
      <c r="G396" s="17">
        <v>4162.53</v>
      </c>
    </row>
    <row r="397" spans="1:7" x14ac:dyDescent="0.3">
      <c r="A397" t="s">
        <v>32</v>
      </c>
      <c r="B397" t="s">
        <v>28</v>
      </c>
      <c r="C397" t="s">
        <v>24</v>
      </c>
      <c r="D397" t="s">
        <v>21</v>
      </c>
      <c r="E397" s="17">
        <v>23202.97</v>
      </c>
      <c r="F397" s="17">
        <v>7360.5600000000013</v>
      </c>
      <c r="G397" s="17">
        <v>7360.56</v>
      </c>
    </row>
    <row r="398" spans="1:7" x14ac:dyDescent="0.3">
      <c r="A398" t="s">
        <v>32</v>
      </c>
      <c r="B398" t="s">
        <v>28</v>
      </c>
      <c r="C398" t="s">
        <v>25</v>
      </c>
      <c r="D398" t="s">
        <v>18</v>
      </c>
      <c r="E398" s="17">
        <v>22224.5</v>
      </c>
      <c r="F398" s="17">
        <v>9185.1</v>
      </c>
      <c r="G398" s="17">
        <v>9185.1</v>
      </c>
    </row>
    <row r="399" spans="1:7" x14ac:dyDescent="0.3">
      <c r="A399" t="s">
        <v>32</v>
      </c>
      <c r="B399" t="s">
        <v>28</v>
      </c>
      <c r="C399" t="s">
        <v>25</v>
      </c>
      <c r="D399" t="s">
        <v>19</v>
      </c>
      <c r="E399" s="17">
        <v>8353.69</v>
      </c>
      <c r="F399" s="17">
        <v>3285.52</v>
      </c>
      <c r="G399" s="17">
        <v>3285.52</v>
      </c>
    </row>
    <row r="400" spans="1:7" x14ac:dyDescent="0.3">
      <c r="A400" t="s">
        <v>32</v>
      </c>
      <c r="B400" t="s">
        <v>28</v>
      </c>
      <c r="C400" t="s">
        <v>25</v>
      </c>
      <c r="D400" t="s">
        <v>20</v>
      </c>
      <c r="E400" s="17">
        <v>11543.68</v>
      </c>
      <c r="F400" s="17">
        <v>4989.72</v>
      </c>
      <c r="G400" s="17">
        <v>4989.72</v>
      </c>
    </row>
    <row r="401" spans="1:7" x14ac:dyDescent="0.3">
      <c r="A401" t="s">
        <v>32</v>
      </c>
      <c r="B401" t="s">
        <v>28</v>
      </c>
      <c r="C401" t="s">
        <v>25</v>
      </c>
      <c r="D401" t="s">
        <v>21</v>
      </c>
      <c r="E401" s="17">
        <v>13677.97</v>
      </c>
      <c r="F401" s="17">
        <v>5492.37</v>
      </c>
      <c r="G401" s="17">
        <v>5492.37</v>
      </c>
    </row>
    <row r="402" spans="1:7" x14ac:dyDescent="0.3">
      <c r="A402" t="s">
        <v>33</v>
      </c>
      <c r="B402" t="s">
        <v>16</v>
      </c>
      <c r="C402" t="s">
        <v>17</v>
      </c>
      <c r="D402" t="s">
        <v>18</v>
      </c>
      <c r="E402" s="17">
        <v>8505.2999999999993</v>
      </c>
      <c r="F402" s="17">
        <v>2216.5700000000002</v>
      </c>
      <c r="G402" s="17">
        <v>2216.5700000000002</v>
      </c>
    </row>
    <row r="403" spans="1:7" x14ac:dyDescent="0.3">
      <c r="A403" t="s">
        <v>33</v>
      </c>
      <c r="B403" t="s">
        <v>16</v>
      </c>
      <c r="C403" t="s">
        <v>17</v>
      </c>
      <c r="D403" t="s">
        <v>19</v>
      </c>
      <c r="E403" s="17">
        <v>15499.57</v>
      </c>
      <c r="F403" s="17">
        <v>6970.2099999999991</v>
      </c>
      <c r="G403" s="17">
        <v>6970.21</v>
      </c>
    </row>
    <row r="404" spans="1:7" x14ac:dyDescent="0.3">
      <c r="A404" t="s">
        <v>33</v>
      </c>
      <c r="B404" t="s">
        <v>16</v>
      </c>
      <c r="C404" t="s">
        <v>17</v>
      </c>
      <c r="D404" t="s">
        <v>20</v>
      </c>
      <c r="E404" s="17">
        <v>13261.73</v>
      </c>
      <c r="F404" s="17">
        <v>2919.18</v>
      </c>
      <c r="G404" s="17">
        <v>2919.18</v>
      </c>
    </row>
    <row r="405" spans="1:7" x14ac:dyDescent="0.3">
      <c r="A405" t="s">
        <v>33</v>
      </c>
      <c r="B405" t="s">
        <v>16</v>
      </c>
      <c r="C405" t="s">
        <v>17</v>
      </c>
      <c r="D405" t="s">
        <v>21</v>
      </c>
      <c r="E405" s="17">
        <v>14387.35</v>
      </c>
      <c r="F405" s="17">
        <v>3930.389999999999</v>
      </c>
      <c r="G405" s="17">
        <v>3930.39</v>
      </c>
    </row>
    <row r="406" spans="1:7" x14ac:dyDescent="0.3">
      <c r="A406" t="s">
        <v>33</v>
      </c>
      <c r="B406" t="s">
        <v>16</v>
      </c>
      <c r="C406" t="s">
        <v>22</v>
      </c>
      <c r="D406" t="s">
        <v>18</v>
      </c>
      <c r="E406" s="17">
        <v>14694.1</v>
      </c>
      <c r="F406" s="17">
        <v>4800.9499999999989</v>
      </c>
      <c r="G406" s="17">
        <v>4800.95</v>
      </c>
    </row>
    <row r="407" spans="1:7" x14ac:dyDescent="0.3">
      <c r="A407" t="s">
        <v>33</v>
      </c>
      <c r="B407" t="s">
        <v>16</v>
      </c>
      <c r="C407" t="s">
        <v>22</v>
      </c>
      <c r="D407" t="s">
        <v>19</v>
      </c>
      <c r="E407" s="17">
        <v>12472.93</v>
      </c>
      <c r="F407" s="17">
        <v>3328.77</v>
      </c>
      <c r="G407" s="17">
        <v>3328.77</v>
      </c>
    </row>
    <row r="408" spans="1:7" x14ac:dyDescent="0.3">
      <c r="A408" t="s">
        <v>33</v>
      </c>
      <c r="B408" t="s">
        <v>16</v>
      </c>
      <c r="C408" t="s">
        <v>22</v>
      </c>
      <c r="D408" t="s">
        <v>20</v>
      </c>
      <c r="E408" s="17">
        <v>6339</v>
      </c>
      <c r="F408" s="17">
        <v>2334.81</v>
      </c>
      <c r="G408" s="17">
        <v>2334.81</v>
      </c>
    </row>
    <row r="409" spans="1:7" x14ac:dyDescent="0.3">
      <c r="A409" t="s">
        <v>33</v>
      </c>
      <c r="B409" t="s">
        <v>16</v>
      </c>
      <c r="C409" t="s">
        <v>22</v>
      </c>
      <c r="D409" t="s">
        <v>21</v>
      </c>
      <c r="E409" s="17">
        <v>15151.35</v>
      </c>
      <c r="F409" s="17">
        <v>3682.7199999999989</v>
      </c>
      <c r="G409" s="17">
        <v>3682.72</v>
      </c>
    </row>
    <row r="410" spans="1:7" x14ac:dyDescent="0.3">
      <c r="A410" t="s">
        <v>33</v>
      </c>
      <c r="B410" t="s">
        <v>16</v>
      </c>
      <c r="C410" t="s">
        <v>23</v>
      </c>
      <c r="D410" t="s">
        <v>18</v>
      </c>
      <c r="E410" s="17">
        <v>19837.52</v>
      </c>
      <c r="F410" s="17">
        <v>3804.5300000000011</v>
      </c>
      <c r="G410" s="17">
        <v>3804.53</v>
      </c>
    </row>
    <row r="411" spans="1:7" x14ac:dyDescent="0.3">
      <c r="A411" t="s">
        <v>33</v>
      </c>
      <c r="B411" t="s">
        <v>16</v>
      </c>
      <c r="C411" t="s">
        <v>23</v>
      </c>
      <c r="D411" t="s">
        <v>19</v>
      </c>
      <c r="E411" s="17">
        <v>19128.22</v>
      </c>
      <c r="F411" s="17">
        <v>7085.3100000000013</v>
      </c>
      <c r="G411" s="17">
        <v>7085.31</v>
      </c>
    </row>
    <row r="412" spans="1:7" x14ac:dyDescent="0.3">
      <c r="A412" t="s">
        <v>33</v>
      </c>
      <c r="B412" t="s">
        <v>16</v>
      </c>
      <c r="C412" t="s">
        <v>23</v>
      </c>
      <c r="D412" t="s">
        <v>20</v>
      </c>
      <c r="E412" s="17">
        <v>20662.400000000001</v>
      </c>
      <c r="F412" s="17">
        <v>5873.1100000000006</v>
      </c>
      <c r="G412" s="17">
        <v>5873.11</v>
      </c>
    </row>
    <row r="413" spans="1:7" x14ac:dyDescent="0.3">
      <c r="A413" t="s">
        <v>33</v>
      </c>
      <c r="B413" t="s">
        <v>16</v>
      </c>
      <c r="C413" t="s">
        <v>23</v>
      </c>
      <c r="D413" t="s">
        <v>21</v>
      </c>
      <c r="E413" s="17">
        <v>17264.84</v>
      </c>
      <c r="F413" s="17">
        <v>6933.59</v>
      </c>
      <c r="G413" s="17">
        <v>6933.59</v>
      </c>
    </row>
    <row r="414" spans="1:7" x14ac:dyDescent="0.3">
      <c r="A414" t="s">
        <v>33</v>
      </c>
      <c r="B414" t="s">
        <v>16</v>
      </c>
      <c r="C414" t="s">
        <v>24</v>
      </c>
      <c r="D414" t="s">
        <v>18</v>
      </c>
      <c r="E414" s="17">
        <v>24558.82</v>
      </c>
      <c r="F414" s="17">
        <v>7705.0499999999993</v>
      </c>
      <c r="G414" s="17">
        <v>7705.05</v>
      </c>
    </row>
    <row r="415" spans="1:7" x14ac:dyDescent="0.3">
      <c r="A415" t="s">
        <v>33</v>
      </c>
      <c r="B415" t="s">
        <v>16</v>
      </c>
      <c r="C415" t="s">
        <v>24</v>
      </c>
      <c r="D415" t="s">
        <v>19</v>
      </c>
      <c r="E415" s="17">
        <v>2851.45</v>
      </c>
      <c r="F415" s="17">
        <v>899.97</v>
      </c>
      <c r="G415" s="17">
        <v>899.97</v>
      </c>
    </row>
    <row r="416" spans="1:7" x14ac:dyDescent="0.3">
      <c r="A416" t="s">
        <v>33</v>
      </c>
      <c r="B416" t="s">
        <v>16</v>
      </c>
      <c r="C416" t="s">
        <v>24</v>
      </c>
      <c r="D416" t="s">
        <v>20</v>
      </c>
      <c r="E416" s="17">
        <v>15574.15</v>
      </c>
      <c r="F416" s="17">
        <v>6460.4499999999989</v>
      </c>
      <c r="G416" s="17">
        <v>6460.45</v>
      </c>
    </row>
    <row r="417" spans="1:7" x14ac:dyDescent="0.3">
      <c r="A417" t="s">
        <v>33</v>
      </c>
      <c r="B417" t="s">
        <v>16</v>
      </c>
      <c r="C417" t="s">
        <v>24</v>
      </c>
      <c r="D417" t="s">
        <v>21</v>
      </c>
      <c r="E417" s="17">
        <v>22106.38</v>
      </c>
      <c r="F417" s="17">
        <v>6607.2099999999991</v>
      </c>
      <c r="G417" s="17">
        <v>6607.21</v>
      </c>
    </row>
    <row r="418" spans="1:7" x14ac:dyDescent="0.3">
      <c r="A418" t="s">
        <v>33</v>
      </c>
      <c r="B418" t="s">
        <v>16</v>
      </c>
      <c r="C418" t="s">
        <v>25</v>
      </c>
      <c r="D418" t="s">
        <v>18</v>
      </c>
      <c r="E418" s="17">
        <v>14096.87</v>
      </c>
      <c r="F418" s="17">
        <v>4276.58</v>
      </c>
      <c r="G418" s="17">
        <v>4276.58</v>
      </c>
    </row>
    <row r="419" spans="1:7" x14ac:dyDescent="0.3">
      <c r="A419" t="s">
        <v>33</v>
      </c>
      <c r="B419" t="s">
        <v>16</v>
      </c>
      <c r="C419" t="s">
        <v>25</v>
      </c>
      <c r="D419" t="s">
        <v>19</v>
      </c>
      <c r="E419" s="17">
        <v>18616.21</v>
      </c>
      <c r="F419" s="17">
        <v>5411.619999999999</v>
      </c>
      <c r="G419" s="17">
        <v>5411.62</v>
      </c>
    </row>
    <row r="420" spans="1:7" x14ac:dyDescent="0.3">
      <c r="A420" t="s">
        <v>33</v>
      </c>
      <c r="B420" t="s">
        <v>16</v>
      </c>
      <c r="C420" t="s">
        <v>25</v>
      </c>
      <c r="D420" t="s">
        <v>20</v>
      </c>
      <c r="E420" s="17">
        <v>17059.97</v>
      </c>
      <c r="F420" s="17">
        <v>3781.809999999999</v>
      </c>
      <c r="G420" s="17">
        <v>3781.81</v>
      </c>
    </row>
    <row r="421" spans="1:7" x14ac:dyDescent="0.3">
      <c r="A421" t="s">
        <v>33</v>
      </c>
      <c r="B421" t="s">
        <v>16</v>
      </c>
      <c r="C421" t="s">
        <v>25</v>
      </c>
      <c r="D421" t="s">
        <v>21</v>
      </c>
      <c r="E421" s="17">
        <v>12798.28</v>
      </c>
      <c r="F421" s="17">
        <v>5652.81</v>
      </c>
      <c r="G421" s="17">
        <v>5652.81</v>
      </c>
    </row>
    <row r="422" spans="1:7" x14ac:dyDescent="0.3">
      <c r="A422" t="s">
        <v>33</v>
      </c>
      <c r="B422" t="s">
        <v>26</v>
      </c>
      <c r="C422" t="s">
        <v>17</v>
      </c>
      <c r="D422" t="s">
        <v>18</v>
      </c>
      <c r="E422" s="17">
        <v>9786.91</v>
      </c>
      <c r="F422" s="17">
        <v>3592.09</v>
      </c>
      <c r="G422" s="17">
        <v>3592.09</v>
      </c>
    </row>
    <row r="423" spans="1:7" x14ac:dyDescent="0.3">
      <c r="A423" t="s">
        <v>33</v>
      </c>
      <c r="B423" t="s">
        <v>26</v>
      </c>
      <c r="C423" t="s">
        <v>17</v>
      </c>
      <c r="D423" t="s">
        <v>19</v>
      </c>
      <c r="E423" s="17">
        <v>16946.240000000002</v>
      </c>
      <c r="F423" s="17">
        <v>6947.5600000000013</v>
      </c>
      <c r="G423" s="17">
        <v>6947.56</v>
      </c>
    </row>
    <row r="424" spans="1:7" x14ac:dyDescent="0.3">
      <c r="A424" t="s">
        <v>33</v>
      </c>
      <c r="B424" t="s">
        <v>26</v>
      </c>
      <c r="C424" t="s">
        <v>17</v>
      </c>
      <c r="D424" t="s">
        <v>20</v>
      </c>
      <c r="E424" s="17">
        <v>21603.85</v>
      </c>
      <c r="F424" s="17">
        <v>8901.27</v>
      </c>
      <c r="G424" s="17">
        <v>8901.27</v>
      </c>
    </row>
    <row r="425" spans="1:7" x14ac:dyDescent="0.3">
      <c r="A425" t="s">
        <v>33</v>
      </c>
      <c r="B425" t="s">
        <v>26</v>
      </c>
      <c r="C425" t="s">
        <v>17</v>
      </c>
      <c r="D425" t="s">
        <v>21</v>
      </c>
      <c r="E425" s="17">
        <v>10740.22</v>
      </c>
      <c r="F425" s="17">
        <v>2851.51</v>
      </c>
      <c r="G425" s="17">
        <v>2851.51</v>
      </c>
    </row>
    <row r="426" spans="1:7" x14ac:dyDescent="0.3">
      <c r="A426" t="s">
        <v>33</v>
      </c>
      <c r="B426" t="s">
        <v>26</v>
      </c>
      <c r="C426" t="s">
        <v>22</v>
      </c>
      <c r="D426" t="s">
        <v>18</v>
      </c>
      <c r="E426" s="17">
        <v>18530.5</v>
      </c>
      <c r="F426" s="17">
        <v>7134.9599999999991</v>
      </c>
      <c r="G426" s="17">
        <v>7134.96</v>
      </c>
    </row>
    <row r="427" spans="1:7" x14ac:dyDescent="0.3">
      <c r="A427" t="s">
        <v>33</v>
      </c>
      <c r="B427" t="s">
        <v>26</v>
      </c>
      <c r="C427" t="s">
        <v>22</v>
      </c>
      <c r="D427" t="s">
        <v>19</v>
      </c>
      <c r="E427" s="17">
        <v>22064.81</v>
      </c>
      <c r="F427" s="17">
        <v>4185.5299999999988</v>
      </c>
      <c r="G427" s="17">
        <v>4185.53</v>
      </c>
    </row>
    <row r="428" spans="1:7" x14ac:dyDescent="0.3">
      <c r="A428" t="s">
        <v>33</v>
      </c>
      <c r="B428" t="s">
        <v>26</v>
      </c>
      <c r="C428" t="s">
        <v>22</v>
      </c>
      <c r="D428" t="s">
        <v>20</v>
      </c>
      <c r="E428" s="17">
        <v>3573.68</v>
      </c>
      <c r="F428" s="17">
        <v>1252.27</v>
      </c>
      <c r="G428" s="17">
        <v>1252.27</v>
      </c>
    </row>
    <row r="429" spans="1:7" x14ac:dyDescent="0.3">
      <c r="A429" t="s">
        <v>33</v>
      </c>
      <c r="B429" t="s">
        <v>26</v>
      </c>
      <c r="C429" t="s">
        <v>22</v>
      </c>
      <c r="D429" t="s">
        <v>21</v>
      </c>
      <c r="E429" s="17">
        <v>23181.37</v>
      </c>
      <c r="F429" s="17">
        <v>10415.51</v>
      </c>
      <c r="G429" s="17">
        <v>10415.51</v>
      </c>
    </row>
    <row r="430" spans="1:7" x14ac:dyDescent="0.3">
      <c r="A430" t="s">
        <v>33</v>
      </c>
      <c r="B430" t="s">
        <v>26</v>
      </c>
      <c r="C430" t="s">
        <v>23</v>
      </c>
      <c r="D430" t="s">
        <v>18</v>
      </c>
      <c r="E430" s="17">
        <v>19175.63</v>
      </c>
      <c r="F430" s="17">
        <v>5698.4700000000012</v>
      </c>
      <c r="G430" s="17">
        <v>5698.47</v>
      </c>
    </row>
    <row r="431" spans="1:7" x14ac:dyDescent="0.3">
      <c r="A431" t="s">
        <v>33</v>
      </c>
      <c r="B431" t="s">
        <v>26</v>
      </c>
      <c r="C431" t="s">
        <v>23</v>
      </c>
      <c r="D431" t="s">
        <v>19</v>
      </c>
      <c r="E431" s="17">
        <v>4264.1899999999996</v>
      </c>
      <c r="F431" s="17">
        <v>1497.21</v>
      </c>
      <c r="G431" s="17">
        <v>1497.21</v>
      </c>
    </row>
    <row r="432" spans="1:7" x14ac:dyDescent="0.3">
      <c r="A432" t="s">
        <v>33</v>
      </c>
      <c r="B432" t="s">
        <v>26</v>
      </c>
      <c r="C432" t="s">
        <v>23</v>
      </c>
      <c r="D432" t="s">
        <v>20</v>
      </c>
      <c r="E432" s="17">
        <v>22069.32</v>
      </c>
      <c r="F432" s="17">
        <v>6616.23</v>
      </c>
      <c r="G432" s="17">
        <v>6616.23</v>
      </c>
    </row>
    <row r="433" spans="1:7" x14ac:dyDescent="0.3">
      <c r="A433" t="s">
        <v>33</v>
      </c>
      <c r="B433" t="s">
        <v>26</v>
      </c>
      <c r="C433" t="s">
        <v>23</v>
      </c>
      <c r="D433" t="s">
        <v>21</v>
      </c>
      <c r="E433" s="17">
        <v>17962.03</v>
      </c>
      <c r="F433" s="17">
        <v>7614.5400000000009</v>
      </c>
      <c r="G433" s="17">
        <v>7614.54</v>
      </c>
    </row>
    <row r="434" spans="1:7" x14ac:dyDescent="0.3">
      <c r="A434" t="s">
        <v>33</v>
      </c>
      <c r="B434" t="s">
        <v>26</v>
      </c>
      <c r="C434" t="s">
        <v>24</v>
      </c>
      <c r="D434" t="s">
        <v>18</v>
      </c>
      <c r="E434" s="17">
        <v>3057.79</v>
      </c>
      <c r="F434" s="17">
        <v>1207.7</v>
      </c>
      <c r="G434" s="17">
        <v>1207.7</v>
      </c>
    </row>
    <row r="435" spans="1:7" x14ac:dyDescent="0.3">
      <c r="A435" t="s">
        <v>33</v>
      </c>
      <c r="B435" t="s">
        <v>26</v>
      </c>
      <c r="C435" t="s">
        <v>24</v>
      </c>
      <c r="D435" t="s">
        <v>19</v>
      </c>
      <c r="E435" s="17">
        <v>8747.4599999999991</v>
      </c>
      <c r="F435" s="17">
        <v>2459.85</v>
      </c>
      <c r="G435" s="17">
        <v>2459.85</v>
      </c>
    </row>
    <row r="436" spans="1:7" x14ac:dyDescent="0.3">
      <c r="A436" t="s">
        <v>33</v>
      </c>
      <c r="B436" t="s">
        <v>26</v>
      </c>
      <c r="C436" t="s">
        <v>24</v>
      </c>
      <c r="D436" t="s">
        <v>20</v>
      </c>
      <c r="E436" s="17">
        <v>5348.11</v>
      </c>
      <c r="F436" s="17">
        <v>1729.66</v>
      </c>
      <c r="G436" s="17">
        <v>1729.66</v>
      </c>
    </row>
    <row r="437" spans="1:7" x14ac:dyDescent="0.3">
      <c r="A437" t="s">
        <v>33</v>
      </c>
      <c r="B437" t="s">
        <v>26</v>
      </c>
      <c r="C437" t="s">
        <v>24</v>
      </c>
      <c r="D437" t="s">
        <v>21</v>
      </c>
      <c r="E437" s="17">
        <v>15016.35</v>
      </c>
      <c r="F437" s="17">
        <v>5916.15</v>
      </c>
      <c r="G437" s="17">
        <v>5916.15</v>
      </c>
    </row>
    <row r="438" spans="1:7" x14ac:dyDescent="0.3">
      <c r="A438" t="s">
        <v>33</v>
      </c>
      <c r="B438" t="s">
        <v>26</v>
      </c>
      <c r="C438" t="s">
        <v>25</v>
      </c>
      <c r="D438" t="s">
        <v>18</v>
      </c>
      <c r="E438" s="17">
        <v>5909.62</v>
      </c>
      <c r="F438" s="17">
        <v>1189.73</v>
      </c>
      <c r="G438" s="17">
        <v>1189.73</v>
      </c>
    </row>
    <row r="439" spans="1:7" x14ac:dyDescent="0.3">
      <c r="A439" t="s">
        <v>33</v>
      </c>
      <c r="B439" t="s">
        <v>26</v>
      </c>
      <c r="C439" t="s">
        <v>25</v>
      </c>
      <c r="D439" t="s">
        <v>19</v>
      </c>
      <c r="E439" s="17">
        <v>22029.31</v>
      </c>
      <c r="F439" s="17">
        <v>7651.26</v>
      </c>
      <c r="G439" s="17">
        <v>7651.26</v>
      </c>
    </row>
    <row r="440" spans="1:7" x14ac:dyDescent="0.3">
      <c r="A440" t="s">
        <v>33</v>
      </c>
      <c r="B440" t="s">
        <v>26</v>
      </c>
      <c r="C440" t="s">
        <v>25</v>
      </c>
      <c r="D440" t="s">
        <v>20</v>
      </c>
      <c r="E440" s="17">
        <v>7539.09</v>
      </c>
      <c r="F440" s="17">
        <v>3215.15</v>
      </c>
      <c r="G440" s="17">
        <v>3215.15</v>
      </c>
    </row>
    <row r="441" spans="1:7" x14ac:dyDescent="0.3">
      <c r="A441" t="s">
        <v>33</v>
      </c>
      <c r="B441" t="s">
        <v>26</v>
      </c>
      <c r="C441" t="s">
        <v>25</v>
      </c>
      <c r="D441" t="s">
        <v>21</v>
      </c>
      <c r="E441" s="17">
        <v>5291.71</v>
      </c>
      <c r="F441" s="17">
        <v>1611.38</v>
      </c>
      <c r="G441" s="17">
        <v>1611.38</v>
      </c>
    </row>
    <row r="442" spans="1:7" x14ac:dyDescent="0.3">
      <c r="A442" t="s">
        <v>33</v>
      </c>
      <c r="B442" t="s">
        <v>27</v>
      </c>
      <c r="C442" t="s">
        <v>17</v>
      </c>
      <c r="D442" t="s">
        <v>18</v>
      </c>
      <c r="E442" s="17">
        <v>7841.48</v>
      </c>
      <c r="F442" s="17">
        <v>1952.04</v>
      </c>
      <c r="G442" s="17">
        <v>1952.04</v>
      </c>
    </row>
    <row r="443" spans="1:7" x14ac:dyDescent="0.3">
      <c r="A443" t="s">
        <v>33</v>
      </c>
      <c r="B443" t="s">
        <v>27</v>
      </c>
      <c r="C443" t="s">
        <v>17</v>
      </c>
      <c r="D443" t="s">
        <v>19</v>
      </c>
      <c r="E443" s="17">
        <v>2216.14</v>
      </c>
      <c r="F443" s="17">
        <v>880.36000000000013</v>
      </c>
      <c r="G443" s="17">
        <v>880.36</v>
      </c>
    </row>
    <row r="444" spans="1:7" x14ac:dyDescent="0.3">
      <c r="A444" t="s">
        <v>33</v>
      </c>
      <c r="B444" t="s">
        <v>27</v>
      </c>
      <c r="C444" t="s">
        <v>17</v>
      </c>
      <c r="D444" t="s">
        <v>20</v>
      </c>
      <c r="E444" s="17">
        <v>22727.82</v>
      </c>
      <c r="F444" s="17">
        <v>8249.17</v>
      </c>
      <c r="G444" s="17">
        <v>8249.17</v>
      </c>
    </row>
    <row r="445" spans="1:7" x14ac:dyDescent="0.3">
      <c r="A445" t="s">
        <v>33</v>
      </c>
      <c r="B445" t="s">
        <v>27</v>
      </c>
      <c r="C445" t="s">
        <v>17</v>
      </c>
      <c r="D445" t="s">
        <v>21</v>
      </c>
      <c r="E445" s="17">
        <v>5633.44</v>
      </c>
      <c r="F445" s="17">
        <v>1685.9</v>
      </c>
      <c r="G445" s="17">
        <v>1685.9</v>
      </c>
    </row>
    <row r="446" spans="1:7" x14ac:dyDescent="0.3">
      <c r="A446" t="s">
        <v>33</v>
      </c>
      <c r="B446" t="s">
        <v>27</v>
      </c>
      <c r="C446" t="s">
        <v>22</v>
      </c>
      <c r="D446" t="s">
        <v>18</v>
      </c>
      <c r="E446" s="17">
        <v>9948.01</v>
      </c>
      <c r="F446" s="17">
        <v>3368.84</v>
      </c>
      <c r="G446" s="17">
        <v>3368.84</v>
      </c>
    </row>
    <row r="447" spans="1:7" x14ac:dyDescent="0.3">
      <c r="A447" t="s">
        <v>33</v>
      </c>
      <c r="B447" t="s">
        <v>27</v>
      </c>
      <c r="C447" t="s">
        <v>22</v>
      </c>
      <c r="D447" t="s">
        <v>19</v>
      </c>
      <c r="E447" s="17">
        <v>16695.59</v>
      </c>
      <c r="F447" s="17">
        <v>4917.91</v>
      </c>
      <c r="G447" s="17">
        <v>4917.91</v>
      </c>
    </row>
    <row r="448" spans="1:7" x14ac:dyDescent="0.3">
      <c r="A448" t="s">
        <v>33</v>
      </c>
      <c r="B448" t="s">
        <v>27</v>
      </c>
      <c r="C448" t="s">
        <v>22</v>
      </c>
      <c r="D448" t="s">
        <v>20</v>
      </c>
      <c r="E448" s="17">
        <v>7752.26</v>
      </c>
      <c r="F448" s="17">
        <v>3164.7199999999989</v>
      </c>
      <c r="G448" s="17">
        <v>3164.72</v>
      </c>
    </row>
    <row r="449" spans="1:7" x14ac:dyDescent="0.3">
      <c r="A449" t="s">
        <v>33</v>
      </c>
      <c r="B449" t="s">
        <v>27</v>
      </c>
      <c r="C449" t="s">
        <v>22</v>
      </c>
      <c r="D449" t="s">
        <v>21</v>
      </c>
      <c r="E449" s="17">
        <v>6581.99</v>
      </c>
      <c r="F449" s="17">
        <v>1868.41</v>
      </c>
      <c r="G449" s="17">
        <v>1868.41</v>
      </c>
    </row>
    <row r="450" spans="1:7" x14ac:dyDescent="0.3">
      <c r="A450" t="s">
        <v>33</v>
      </c>
      <c r="B450" t="s">
        <v>27</v>
      </c>
      <c r="C450" t="s">
        <v>23</v>
      </c>
      <c r="D450" t="s">
        <v>18</v>
      </c>
      <c r="E450" s="17">
        <v>13113.79</v>
      </c>
      <c r="F450" s="17">
        <v>3200.360000000001</v>
      </c>
      <c r="G450" s="17">
        <v>3200.36</v>
      </c>
    </row>
    <row r="451" spans="1:7" x14ac:dyDescent="0.3">
      <c r="A451" t="s">
        <v>33</v>
      </c>
      <c r="B451" t="s">
        <v>27</v>
      </c>
      <c r="C451" t="s">
        <v>23</v>
      </c>
      <c r="D451" t="s">
        <v>19</v>
      </c>
      <c r="E451" s="17">
        <v>15154.22</v>
      </c>
      <c r="F451" s="17">
        <v>5079.68</v>
      </c>
      <c r="G451" s="17">
        <v>5079.68</v>
      </c>
    </row>
    <row r="452" spans="1:7" x14ac:dyDescent="0.3">
      <c r="A452" t="s">
        <v>33</v>
      </c>
      <c r="B452" t="s">
        <v>27</v>
      </c>
      <c r="C452" t="s">
        <v>23</v>
      </c>
      <c r="D452" t="s">
        <v>20</v>
      </c>
      <c r="E452" s="17">
        <v>24831.919999999998</v>
      </c>
      <c r="F452" s="17">
        <v>6449.16</v>
      </c>
      <c r="G452" s="17">
        <v>6449.16</v>
      </c>
    </row>
    <row r="453" spans="1:7" x14ac:dyDescent="0.3">
      <c r="A453" t="s">
        <v>33</v>
      </c>
      <c r="B453" t="s">
        <v>27</v>
      </c>
      <c r="C453" t="s">
        <v>23</v>
      </c>
      <c r="D453" t="s">
        <v>21</v>
      </c>
      <c r="E453" s="17">
        <v>24492.720000000001</v>
      </c>
      <c r="F453" s="17">
        <v>8761.59</v>
      </c>
      <c r="G453" s="17">
        <v>8761.59</v>
      </c>
    </row>
    <row r="454" spans="1:7" x14ac:dyDescent="0.3">
      <c r="A454" t="s">
        <v>33</v>
      </c>
      <c r="B454" t="s">
        <v>27</v>
      </c>
      <c r="C454" t="s">
        <v>24</v>
      </c>
      <c r="D454" t="s">
        <v>18</v>
      </c>
      <c r="E454" s="17">
        <v>8313.0499999999993</v>
      </c>
      <c r="F454" s="17">
        <v>2766.59</v>
      </c>
      <c r="G454" s="17">
        <v>2766.59</v>
      </c>
    </row>
    <row r="455" spans="1:7" x14ac:dyDescent="0.3">
      <c r="A455" t="s">
        <v>33</v>
      </c>
      <c r="B455" t="s">
        <v>27</v>
      </c>
      <c r="C455" t="s">
        <v>24</v>
      </c>
      <c r="D455" t="s">
        <v>19</v>
      </c>
      <c r="E455" s="17">
        <v>17773.39</v>
      </c>
      <c r="F455" s="17">
        <v>6772.74</v>
      </c>
      <c r="G455" s="17">
        <v>6772.74</v>
      </c>
    </row>
    <row r="456" spans="1:7" x14ac:dyDescent="0.3">
      <c r="A456" t="s">
        <v>33</v>
      </c>
      <c r="B456" t="s">
        <v>27</v>
      </c>
      <c r="C456" t="s">
        <v>24</v>
      </c>
      <c r="D456" t="s">
        <v>20</v>
      </c>
      <c r="E456" s="17">
        <v>3128.02</v>
      </c>
      <c r="F456" s="17">
        <v>1075.19</v>
      </c>
      <c r="G456" s="17">
        <v>1075.19</v>
      </c>
    </row>
    <row r="457" spans="1:7" x14ac:dyDescent="0.3">
      <c r="A457" t="s">
        <v>33</v>
      </c>
      <c r="B457" t="s">
        <v>27</v>
      </c>
      <c r="C457" t="s">
        <v>24</v>
      </c>
      <c r="D457" t="s">
        <v>21</v>
      </c>
      <c r="E457" s="17">
        <v>13424.73</v>
      </c>
      <c r="F457" s="17">
        <v>5693.72</v>
      </c>
      <c r="G457" s="17">
        <v>5693.72</v>
      </c>
    </row>
    <row r="458" spans="1:7" x14ac:dyDescent="0.3">
      <c r="A458" t="s">
        <v>33</v>
      </c>
      <c r="B458" t="s">
        <v>27</v>
      </c>
      <c r="C458" t="s">
        <v>25</v>
      </c>
      <c r="D458" t="s">
        <v>18</v>
      </c>
      <c r="E458" s="17">
        <v>8582.4699999999993</v>
      </c>
      <c r="F458" s="17">
        <v>3396.02</v>
      </c>
      <c r="G458" s="17">
        <v>3396.02</v>
      </c>
    </row>
    <row r="459" spans="1:7" x14ac:dyDescent="0.3">
      <c r="A459" t="s">
        <v>33</v>
      </c>
      <c r="B459" t="s">
        <v>27</v>
      </c>
      <c r="C459" t="s">
        <v>25</v>
      </c>
      <c r="D459" t="s">
        <v>19</v>
      </c>
      <c r="E459" s="17">
        <v>15962.49</v>
      </c>
      <c r="F459" s="17">
        <v>4391.7100000000009</v>
      </c>
      <c r="G459" s="17">
        <v>4391.71</v>
      </c>
    </row>
    <row r="460" spans="1:7" x14ac:dyDescent="0.3">
      <c r="A460" t="s">
        <v>33</v>
      </c>
      <c r="B460" t="s">
        <v>27</v>
      </c>
      <c r="C460" t="s">
        <v>25</v>
      </c>
      <c r="D460" t="s">
        <v>20</v>
      </c>
      <c r="E460" s="17">
        <v>16642.21</v>
      </c>
      <c r="F460" s="17">
        <v>5785.51</v>
      </c>
      <c r="G460" s="17">
        <v>5785.51</v>
      </c>
    </row>
    <row r="461" spans="1:7" x14ac:dyDescent="0.3">
      <c r="A461" t="s">
        <v>33</v>
      </c>
      <c r="B461" t="s">
        <v>27</v>
      </c>
      <c r="C461" t="s">
        <v>25</v>
      </c>
      <c r="D461" t="s">
        <v>21</v>
      </c>
      <c r="E461" s="17">
        <v>17588.580000000002</v>
      </c>
      <c r="F461" s="17">
        <v>6589.57</v>
      </c>
      <c r="G461" s="17">
        <v>6589.57</v>
      </c>
    </row>
    <row r="462" spans="1:7" x14ac:dyDescent="0.3">
      <c r="A462" t="s">
        <v>33</v>
      </c>
      <c r="B462" t="s">
        <v>28</v>
      </c>
      <c r="C462" t="s">
        <v>17</v>
      </c>
      <c r="D462" t="s">
        <v>18</v>
      </c>
      <c r="E462" s="17">
        <v>17161.18</v>
      </c>
      <c r="F462" s="17">
        <v>6973.4599999999991</v>
      </c>
      <c r="G462" s="17">
        <v>6973.46</v>
      </c>
    </row>
    <row r="463" spans="1:7" x14ac:dyDescent="0.3">
      <c r="A463" t="s">
        <v>33</v>
      </c>
      <c r="B463" t="s">
        <v>28</v>
      </c>
      <c r="C463" t="s">
        <v>17</v>
      </c>
      <c r="D463" t="s">
        <v>19</v>
      </c>
      <c r="E463" s="17">
        <v>16449.71</v>
      </c>
      <c r="F463" s="17">
        <v>6973.34</v>
      </c>
      <c r="G463" s="17">
        <v>6973.34</v>
      </c>
    </row>
    <row r="464" spans="1:7" x14ac:dyDescent="0.3">
      <c r="A464" t="s">
        <v>33</v>
      </c>
      <c r="B464" t="s">
        <v>28</v>
      </c>
      <c r="C464" t="s">
        <v>17</v>
      </c>
      <c r="D464" t="s">
        <v>20</v>
      </c>
      <c r="E464" s="17">
        <v>16865.830000000002</v>
      </c>
      <c r="F464" s="17">
        <v>4442.66</v>
      </c>
      <c r="G464" s="17">
        <v>4442.66</v>
      </c>
    </row>
    <row r="465" spans="1:7" x14ac:dyDescent="0.3">
      <c r="A465" t="s">
        <v>33</v>
      </c>
      <c r="B465" t="s">
        <v>28</v>
      </c>
      <c r="C465" t="s">
        <v>17</v>
      </c>
      <c r="D465" t="s">
        <v>21</v>
      </c>
      <c r="E465" s="17">
        <v>12138.93</v>
      </c>
      <c r="F465" s="17">
        <v>4084.57</v>
      </c>
      <c r="G465" s="17">
        <v>4084.57</v>
      </c>
    </row>
    <row r="466" spans="1:7" x14ac:dyDescent="0.3">
      <c r="A466" t="s">
        <v>33</v>
      </c>
      <c r="B466" t="s">
        <v>28</v>
      </c>
      <c r="C466" t="s">
        <v>22</v>
      </c>
      <c r="D466" t="s">
        <v>18</v>
      </c>
      <c r="E466" s="17">
        <v>18844.27</v>
      </c>
      <c r="F466" s="17">
        <v>3850.559999999999</v>
      </c>
      <c r="G466" s="17">
        <v>3850.56</v>
      </c>
    </row>
    <row r="467" spans="1:7" x14ac:dyDescent="0.3">
      <c r="A467" t="s">
        <v>33</v>
      </c>
      <c r="B467" t="s">
        <v>28</v>
      </c>
      <c r="C467" t="s">
        <v>22</v>
      </c>
      <c r="D467" t="s">
        <v>19</v>
      </c>
      <c r="E467" s="17">
        <v>8787.5400000000009</v>
      </c>
      <c r="F467" s="17">
        <v>3355.26</v>
      </c>
      <c r="G467" s="17">
        <v>3355.26</v>
      </c>
    </row>
    <row r="468" spans="1:7" x14ac:dyDescent="0.3">
      <c r="A468" t="s">
        <v>33</v>
      </c>
      <c r="B468" t="s">
        <v>28</v>
      </c>
      <c r="C468" t="s">
        <v>22</v>
      </c>
      <c r="D468" t="s">
        <v>20</v>
      </c>
      <c r="E468" s="17">
        <v>6039.72</v>
      </c>
      <c r="F468" s="17">
        <v>1302.67</v>
      </c>
      <c r="G468" s="17">
        <v>1302.67</v>
      </c>
    </row>
    <row r="469" spans="1:7" x14ac:dyDescent="0.3">
      <c r="A469" t="s">
        <v>33</v>
      </c>
      <c r="B469" t="s">
        <v>28</v>
      </c>
      <c r="C469" t="s">
        <v>22</v>
      </c>
      <c r="D469" t="s">
        <v>21</v>
      </c>
      <c r="E469" s="17">
        <v>14406.38</v>
      </c>
      <c r="F469" s="17">
        <v>6371.97</v>
      </c>
      <c r="G469" s="17">
        <v>6371.97</v>
      </c>
    </row>
    <row r="470" spans="1:7" x14ac:dyDescent="0.3">
      <c r="A470" t="s">
        <v>33</v>
      </c>
      <c r="B470" t="s">
        <v>28</v>
      </c>
      <c r="C470" t="s">
        <v>23</v>
      </c>
      <c r="D470" t="s">
        <v>18</v>
      </c>
      <c r="E470" s="17">
        <v>14209.6</v>
      </c>
      <c r="F470" s="17">
        <v>6062.4</v>
      </c>
      <c r="G470" s="17">
        <v>6062.4</v>
      </c>
    </row>
    <row r="471" spans="1:7" x14ac:dyDescent="0.3">
      <c r="A471" t="s">
        <v>33</v>
      </c>
      <c r="B471" t="s">
        <v>28</v>
      </c>
      <c r="C471" t="s">
        <v>23</v>
      </c>
      <c r="D471" t="s">
        <v>19</v>
      </c>
      <c r="E471" s="17">
        <v>21100.87</v>
      </c>
      <c r="F471" s="17">
        <v>5262.18</v>
      </c>
      <c r="G471" s="17">
        <v>5262.18</v>
      </c>
    </row>
    <row r="472" spans="1:7" x14ac:dyDescent="0.3">
      <c r="A472" t="s">
        <v>33</v>
      </c>
      <c r="B472" t="s">
        <v>28</v>
      </c>
      <c r="C472" t="s">
        <v>23</v>
      </c>
      <c r="D472" t="s">
        <v>20</v>
      </c>
      <c r="E472" s="17">
        <v>20967.87</v>
      </c>
      <c r="F472" s="17">
        <v>6502.1100000000006</v>
      </c>
      <c r="G472" s="17">
        <v>6502.11</v>
      </c>
    </row>
    <row r="473" spans="1:7" x14ac:dyDescent="0.3">
      <c r="A473" t="s">
        <v>33</v>
      </c>
      <c r="B473" t="s">
        <v>28</v>
      </c>
      <c r="C473" t="s">
        <v>23</v>
      </c>
      <c r="D473" t="s">
        <v>21</v>
      </c>
      <c r="E473" s="17">
        <v>20549.240000000002</v>
      </c>
      <c r="F473" s="17">
        <v>7840.99</v>
      </c>
      <c r="G473" s="17">
        <v>7840.99</v>
      </c>
    </row>
    <row r="474" spans="1:7" x14ac:dyDescent="0.3">
      <c r="A474" t="s">
        <v>33</v>
      </c>
      <c r="B474" t="s">
        <v>28</v>
      </c>
      <c r="C474" t="s">
        <v>24</v>
      </c>
      <c r="D474" t="s">
        <v>18</v>
      </c>
      <c r="E474" s="17">
        <v>9790.4500000000007</v>
      </c>
      <c r="F474" s="17">
        <v>2066.7199999999989</v>
      </c>
      <c r="G474" s="17">
        <v>2066.7199999999998</v>
      </c>
    </row>
    <row r="475" spans="1:7" x14ac:dyDescent="0.3">
      <c r="A475" t="s">
        <v>33</v>
      </c>
      <c r="B475" t="s">
        <v>28</v>
      </c>
      <c r="C475" t="s">
        <v>24</v>
      </c>
      <c r="D475" t="s">
        <v>19</v>
      </c>
      <c r="E475" s="17">
        <v>24146.55</v>
      </c>
      <c r="F475" s="17">
        <v>5264.0499999999993</v>
      </c>
      <c r="G475" s="17">
        <v>5264.05</v>
      </c>
    </row>
    <row r="476" spans="1:7" x14ac:dyDescent="0.3">
      <c r="A476" t="s">
        <v>33</v>
      </c>
      <c r="B476" t="s">
        <v>28</v>
      </c>
      <c r="C476" t="s">
        <v>24</v>
      </c>
      <c r="D476" t="s">
        <v>20</v>
      </c>
      <c r="E476" s="17">
        <v>24229.5</v>
      </c>
      <c r="F476" s="17">
        <v>9988.32</v>
      </c>
      <c r="G476" s="17">
        <v>9988.32</v>
      </c>
    </row>
    <row r="477" spans="1:7" x14ac:dyDescent="0.3">
      <c r="A477" t="s">
        <v>33</v>
      </c>
      <c r="B477" t="s">
        <v>28</v>
      </c>
      <c r="C477" t="s">
        <v>24</v>
      </c>
      <c r="D477" t="s">
        <v>21</v>
      </c>
      <c r="E477" s="17">
        <v>18656.98</v>
      </c>
      <c r="F477" s="17">
        <v>8294.6</v>
      </c>
      <c r="G477" s="17">
        <v>8294.6</v>
      </c>
    </row>
    <row r="478" spans="1:7" x14ac:dyDescent="0.3">
      <c r="A478" t="s">
        <v>33</v>
      </c>
      <c r="B478" t="s">
        <v>28</v>
      </c>
      <c r="C478" t="s">
        <v>25</v>
      </c>
      <c r="D478" t="s">
        <v>18</v>
      </c>
      <c r="E478" s="17">
        <v>24247.200000000001</v>
      </c>
      <c r="F478" s="17">
        <v>9631.93</v>
      </c>
      <c r="G478" s="17">
        <v>9631.93</v>
      </c>
    </row>
    <row r="479" spans="1:7" x14ac:dyDescent="0.3">
      <c r="A479" t="s">
        <v>33</v>
      </c>
      <c r="B479" t="s">
        <v>28</v>
      </c>
      <c r="C479" t="s">
        <v>25</v>
      </c>
      <c r="D479" t="s">
        <v>19</v>
      </c>
      <c r="E479" s="17">
        <v>10412.83</v>
      </c>
      <c r="F479" s="17">
        <v>4097.28</v>
      </c>
      <c r="G479" s="17">
        <v>4097.28</v>
      </c>
    </row>
    <row r="480" spans="1:7" x14ac:dyDescent="0.3">
      <c r="A480" t="s">
        <v>33</v>
      </c>
      <c r="B480" t="s">
        <v>28</v>
      </c>
      <c r="C480" t="s">
        <v>25</v>
      </c>
      <c r="D480" t="s">
        <v>20</v>
      </c>
      <c r="E480" s="17">
        <v>2320.13</v>
      </c>
      <c r="F480" s="17">
        <v>753.75</v>
      </c>
      <c r="G480" s="17">
        <v>753.75</v>
      </c>
    </row>
    <row r="481" spans="1:7" x14ac:dyDescent="0.3">
      <c r="A481" t="s">
        <v>33</v>
      </c>
      <c r="B481" t="s">
        <v>28</v>
      </c>
      <c r="C481" t="s">
        <v>25</v>
      </c>
      <c r="D481" t="s">
        <v>21</v>
      </c>
      <c r="E481" s="17">
        <v>12460.08</v>
      </c>
      <c r="F481" s="17">
        <v>4506.3599999999997</v>
      </c>
      <c r="G481" s="17">
        <v>4506.3599999999997</v>
      </c>
    </row>
    <row r="482" spans="1:7" x14ac:dyDescent="0.3">
      <c r="A482" t="s">
        <v>34</v>
      </c>
      <c r="B482" t="s">
        <v>16</v>
      </c>
      <c r="C482" t="s">
        <v>17</v>
      </c>
      <c r="D482" t="s">
        <v>18</v>
      </c>
      <c r="E482" s="17">
        <v>17463.84</v>
      </c>
      <c r="F482" s="17">
        <v>5899.83</v>
      </c>
      <c r="G482" s="17">
        <v>5899.83</v>
      </c>
    </row>
    <row r="483" spans="1:7" x14ac:dyDescent="0.3">
      <c r="A483" t="s">
        <v>34</v>
      </c>
      <c r="B483" t="s">
        <v>16</v>
      </c>
      <c r="C483" t="s">
        <v>17</v>
      </c>
      <c r="D483" t="s">
        <v>19</v>
      </c>
      <c r="E483" s="17">
        <v>20915.599999999999</v>
      </c>
      <c r="F483" s="17">
        <v>9074.84</v>
      </c>
      <c r="G483" s="17">
        <v>9074.84</v>
      </c>
    </row>
    <row r="484" spans="1:7" x14ac:dyDescent="0.3">
      <c r="A484" t="s">
        <v>34</v>
      </c>
      <c r="B484" t="s">
        <v>16</v>
      </c>
      <c r="C484" t="s">
        <v>17</v>
      </c>
      <c r="D484" t="s">
        <v>20</v>
      </c>
      <c r="E484" s="17">
        <v>4491.96</v>
      </c>
      <c r="F484" s="17">
        <v>1092.1400000000001</v>
      </c>
      <c r="G484" s="17">
        <v>1092.1400000000001</v>
      </c>
    </row>
    <row r="485" spans="1:7" x14ac:dyDescent="0.3">
      <c r="A485" t="s">
        <v>34</v>
      </c>
      <c r="B485" t="s">
        <v>16</v>
      </c>
      <c r="C485" t="s">
        <v>17</v>
      </c>
      <c r="D485" t="s">
        <v>21</v>
      </c>
      <c r="E485" s="17">
        <v>2575.5700000000002</v>
      </c>
      <c r="F485" s="17">
        <v>1078.5</v>
      </c>
      <c r="G485" s="17">
        <v>1078.5</v>
      </c>
    </row>
    <row r="486" spans="1:7" x14ac:dyDescent="0.3">
      <c r="A486" t="s">
        <v>34</v>
      </c>
      <c r="B486" t="s">
        <v>16</v>
      </c>
      <c r="C486" t="s">
        <v>22</v>
      </c>
      <c r="D486" t="s">
        <v>18</v>
      </c>
      <c r="E486" s="17">
        <v>14912.37</v>
      </c>
      <c r="F486" s="17">
        <v>6369.3599999999988</v>
      </c>
      <c r="G486" s="17">
        <v>6369.36</v>
      </c>
    </row>
    <row r="487" spans="1:7" x14ac:dyDescent="0.3">
      <c r="A487" t="s">
        <v>34</v>
      </c>
      <c r="B487" t="s">
        <v>16</v>
      </c>
      <c r="C487" t="s">
        <v>22</v>
      </c>
      <c r="D487" t="s">
        <v>19</v>
      </c>
      <c r="E487" s="17">
        <v>7091.45</v>
      </c>
      <c r="F487" s="17">
        <v>1397.5</v>
      </c>
      <c r="G487" s="17">
        <v>1397.5</v>
      </c>
    </row>
    <row r="488" spans="1:7" x14ac:dyDescent="0.3">
      <c r="A488" t="s">
        <v>34</v>
      </c>
      <c r="B488" t="s">
        <v>16</v>
      </c>
      <c r="C488" t="s">
        <v>22</v>
      </c>
      <c r="D488" t="s">
        <v>20</v>
      </c>
      <c r="E488" s="17">
        <v>20948.669999999998</v>
      </c>
      <c r="F488" s="17">
        <v>8914.39</v>
      </c>
      <c r="G488" s="17">
        <v>8914.39</v>
      </c>
    </row>
    <row r="489" spans="1:7" x14ac:dyDescent="0.3">
      <c r="A489" t="s">
        <v>34</v>
      </c>
      <c r="B489" t="s">
        <v>16</v>
      </c>
      <c r="C489" t="s">
        <v>22</v>
      </c>
      <c r="D489" t="s">
        <v>21</v>
      </c>
      <c r="E489" s="17">
        <v>8950.3700000000008</v>
      </c>
      <c r="F489" s="17">
        <v>2597.75</v>
      </c>
      <c r="G489" s="17">
        <v>2597.75</v>
      </c>
    </row>
    <row r="490" spans="1:7" x14ac:dyDescent="0.3">
      <c r="A490" t="s">
        <v>34</v>
      </c>
      <c r="B490" t="s">
        <v>16</v>
      </c>
      <c r="C490" t="s">
        <v>23</v>
      </c>
      <c r="D490" t="s">
        <v>18</v>
      </c>
      <c r="E490" s="17">
        <v>5214.87</v>
      </c>
      <c r="F490" s="17">
        <v>2271.0300000000002</v>
      </c>
      <c r="G490" s="17">
        <v>2271.0300000000002</v>
      </c>
    </row>
    <row r="491" spans="1:7" x14ac:dyDescent="0.3">
      <c r="A491" t="s">
        <v>34</v>
      </c>
      <c r="B491" t="s">
        <v>16</v>
      </c>
      <c r="C491" t="s">
        <v>23</v>
      </c>
      <c r="D491" t="s">
        <v>19</v>
      </c>
      <c r="E491" s="17">
        <v>9000.39</v>
      </c>
      <c r="F491" s="17">
        <v>2817.2</v>
      </c>
      <c r="G491" s="17">
        <v>2817.2</v>
      </c>
    </row>
    <row r="492" spans="1:7" x14ac:dyDescent="0.3">
      <c r="A492" t="s">
        <v>34</v>
      </c>
      <c r="B492" t="s">
        <v>16</v>
      </c>
      <c r="C492" t="s">
        <v>23</v>
      </c>
      <c r="D492" t="s">
        <v>20</v>
      </c>
      <c r="E492" s="17">
        <v>4235.42</v>
      </c>
      <c r="F492" s="17">
        <v>1777.01</v>
      </c>
      <c r="G492" s="17">
        <v>1777.01</v>
      </c>
    </row>
    <row r="493" spans="1:7" x14ac:dyDescent="0.3">
      <c r="A493" t="s">
        <v>34</v>
      </c>
      <c r="B493" t="s">
        <v>16</v>
      </c>
      <c r="C493" t="s">
        <v>23</v>
      </c>
      <c r="D493" t="s">
        <v>21</v>
      </c>
      <c r="E493" s="17">
        <v>5120.2700000000004</v>
      </c>
      <c r="F493" s="17">
        <v>1548.8</v>
      </c>
      <c r="G493" s="17">
        <v>1548.8</v>
      </c>
    </row>
    <row r="494" spans="1:7" x14ac:dyDescent="0.3">
      <c r="A494" t="s">
        <v>34</v>
      </c>
      <c r="B494" t="s">
        <v>16</v>
      </c>
      <c r="C494" t="s">
        <v>24</v>
      </c>
      <c r="D494" t="s">
        <v>18</v>
      </c>
      <c r="E494" s="17">
        <v>17421.18</v>
      </c>
      <c r="F494" s="17">
        <v>6631.33</v>
      </c>
      <c r="G494" s="17">
        <v>6631.33</v>
      </c>
    </row>
    <row r="495" spans="1:7" x14ac:dyDescent="0.3">
      <c r="A495" t="s">
        <v>34</v>
      </c>
      <c r="B495" t="s">
        <v>16</v>
      </c>
      <c r="C495" t="s">
        <v>24</v>
      </c>
      <c r="D495" t="s">
        <v>19</v>
      </c>
      <c r="E495" s="17">
        <v>23757.4</v>
      </c>
      <c r="F495" s="17">
        <v>6964.82</v>
      </c>
      <c r="G495" s="17">
        <v>6964.82</v>
      </c>
    </row>
    <row r="496" spans="1:7" x14ac:dyDescent="0.3">
      <c r="A496" t="s">
        <v>34</v>
      </c>
      <c r="B496" t="s">
        <v>16</v>
      </c>
      <c r="C496" t="s">
        <v>24</v>
      </c>
      <c r="D496" t="s">
        <v>20</v>
      </c>
      <c r="E496" s="17">
        <v>19072.189999999999</v>
      </c>
      <c r="F496" s="17">
        <v>4228.7099999999991</v>
      </c>
      <c r="G496" s="17">
        <v>4228.71</v>
      </c>
    </row>
    <row r="497" spans="1:7" x14ac:dyDescent="0.3">
      <c r="A497" t="s">
        <v>34</v>
      </c>
      <c r="B497" t="s">
        <v>16</v>
      </c>
      <c r="C497" t="s">
        <v>24</v>
      </c>
      <c r="D497" t="s">
        <v>21</v>
      </c>
      <c r="E497" s="17">
        <v>11542.34</v>
      </c>
      <c r="F497" s="17">
        <v>2386.2199999999989</v>
      </c>
      <c r="G497" s="17">
        <v>2386.2199999999998</v>
      </c>
    </row>
    <row r="498" spans="1:7" x14ac:dyDescent="0.3">
      <c r="A498" t="s">
        <v>34</v>
      </c>
      <c r="B498" t="s">
        <v>16</v>
      </c>
      <c r="C498" t="s">
        <v>25</v>
      </c>
      <c r="D498" t="s">
        <v>18</v>
      </c>
      <c r="E498" s="17">
        <v>13254.98</v>
      </c>
      <c r="F498" s="17">
        <v>3846.48</v>
      </c>
      <c r="G498" s="17">
        <v>3846.48</v>
      </c>
    </row>
    <row r="499" spans="1:7" x14ac:dyDescent="0.3">
      <c r="A499" t="s">
        <v>34</v>
      </c>
      <c r="B499" t="s">
        <v>16</v>
      </c>
      <c r="C499" t="s">
        <v>25</v>
      </c>
      <c r="D499" t="s">
        <v>19</v>
      </c>
      <c r="E499" s="17">
        <v>23885</v>
      </c>
      <c r="F499" s="17">
        <v>4510.2900000000009</v>
      </c>
      <c r="G499" s="17">
        <v>4510.29</v>
      </c>
    </row>
    <row r="500" spans="1:7" x14ac:dyDescent="0.3">
      <c r="A500" t="s">
        <v>34</v>
      </c>
      <c r="B500" t="s">
        <v>16</v>
      </c>
      <c r="C500" t="s">
        <v>25</v>
      </c>
      <c r="D500" t="s">
        <v>20</v>
      </c>
      <c r="E500" s="17">
        <v>10522.19</v>
      </c>
      <c r="F500" s="17">
        <v>3153.639999999999</v>
      </c>
      <c r="G500" s="17">
        <v>3153.64</v>
      </c>
    </row>
    <row r="501" spans="1:7" x14ac:dyDescent="0.3">
      <c r="A501" t="s">
        <v>34</v>
      </c>
      <c r="B501" t="s">
        <v>16</v>
      </c>
      <c r="C501" t="s">
        <v>25</v>
      </c>
      <c r="D501" t="s">
        <v>21</v>
      </c>
      <c r="E501" s="17">
        <v>23862.77</v>
      </c>
      <c r="F501" s="17">
        <v>9806.92</v>
      </c>
      <c r="G501" s="17">
        <v>9806.92</v>
      </c>
    </row>
    <row r="502" spans="1:7" x14ac:dyDescent="0.3">
      <c r="A502" t="s">
        <v>34</v>
      </c>
      <c r="B502" t="s">
        <v>26</v>
      </c>
      <c r="C502" t="s">
        <v>17</v>
      </c>
      <c r="D502" t="s">
        <v>18</v>
      </c>
      <c r="E502" s="17">
        <v>4285.16</v>
      </c>
      <c r="F502" s="17">
        <v>1564.66</v>
      </c>
      <c r="G502" s="17">
        <v>1564.66</v>
      </c>
    </row>
    <row r="503" spans="1:7" x14ac:dyDescent="0.3">
      <c r="A503" t="s">
        <v>34</v>
      </c>
      <c r="B503" t="s">
        <v>26</v>
      </c>
      <c r="C503" t="s">
        <v>17</v>
      </c>
      <c r="D503" t="s">
        <v>19</v>
      </c>
      <c r="E503" s="17">
        <v>14522.71</v>
      </c>
      <c r="F503" s="17">
        <v>6448.34</v>
      </c>
      <c r="G503" s="17">
        <v>6448.34</v>
      </c>
    </row>
    <row r="504" spans="1:7" x14ac:dyDescent="0.3">
      <c r="A504" t="s">
        <v>34</v>
      </c>
      <c r="B504" t="s">
        <v>26</v>
      </c>
      <c r="C504" t="s">
        <v>17</v>
      </c>
      <c r="D504" t="s">
        <v>20</v>
      </c>
      <c r="E504" s="17">
        <v>10249.5</v>
      </c>
      <c r="F504" s="17">
        <v>2946.71</v>
      </c>
      <c r="G504" s="17">
        <v>2946.71</v>
      </c>
    </row>
    <row r="505" spans="1:7" x14ac:dyDescent="0.3">
      <c r="A505" t="s">
        <v>34</v>
      </c>
      <c r="B505" t="s">
        <v>26</v>
      </c>
      <c r="C505" t="s">
        <v>17</v>
      </c>
      <c r="D505" t="s">
        <v>21</v>
      </c>
      <c r="E505" s="17">
        <v>6365.6</v>
      </c>
      <c r="F505" s="17">
        <v>1355.77</v>
      </c>
      <c r="G505" s="17">
        <v>1355.77</v>
      </c>
    </row>
    <row r="506" spans="1:7" x14ac:dyDescent="0.3">
      <c r="A506" t="s">
        <v>34</v>
      </c>
      <c r="B506" t="s">
        <v>26</v>
      </c>
      <c r="C506" t="s">
        <v>22</v>
      </c>
      <c r="D506" t="s">
        <v>18</v>
      </c>
      <c r="E506" s="17">
        <v>21504.76</v>
      </c>
      <c r="F506" s="17">
        <v>6511.08</v>
      </c>
      <c r="G506" s="17">
        <v>6511.08</v>
      </c>
    </row>
    <row r="507" spans="1:7" x14ac:dyDescent="0.3">
      <c r="A507" t="s">
        <v>34</v>
      </c>
      <c r="B507" t="s">
        <v>26</v>
      </c>
      <c r="C507" t="s">
        <v>22</v>
      </c>
      <c r="D507" t="s">
        <v>19</v>
      </c>
      <c r="E507" s="17">
        <v>17243.68</v>
      </c>
      <c r="F507" s="17">
        <v>6091.51</v>
      </c>
      <c r="G507" s="17">
        <v>6091.51</v>
      </c>
    </row>
    <row r="508" spans="1:7" x14ac:dyDescent="0.3">
      <c r="A508" t="s">
        <v>34</v>
      </c>
      <c r="B508" t="s">
        <v>26</v>
      </c>
      <c r="C508" t="s">
        <v>22</v>
      </c>
      <c r="D508" t="s">
        <v>20</v>
      </c>
      <c r="E508" s="17">
        <v>15734.36</v>
      </c>
      <c r="F508" s="17">
        <v>2922.92</v>
      </c>
      <c r="G508" s="17">
        <v>2922.92</v>
      </c>
    </row>
    <row r="509" spans="1:7" x14ac:dyDescent="0.3">
      <c r="A509" t="s">
        <v>34</v>
      </c>
      <c r="B509" t="s">
        <v>26</v>
      </c>
      <c r="C509" t="s">
        <v>22</v>
      </c>
      <c r="D509" t="s">
        <v>21</v>
      </c>
      <c r="E509" s="17">
        <v>20096.28</v>
      </c>
      <c r="F509" s="17">
        <v>4938.93</v>
      </c>
      <c r="G509" s="17">
        <v>4938.93</v>
      </c>
    </row>
    <row r="510" spans="1:7" x14ac:dyDescent="0.3">
      <c r="A510" t="s">
        <v>34</v>
      </c>
      <c r="B510" t="s">
        <v>26</v>
      </c>
      <c r="C510" t="s">
        <v>23</v>
      </c>
      <c r="D510" t="s">
        <v>18</v>
      </c>
      <c r="E510" s="17">
        <v>4896.25</v>
      </c>
      <c r="F510" s="17">
        <v>1627.69</v>
      </c>
      <c r="G510" s="17">
        <v>1627.69</v>
      </c>
    </row>
    <row r="511" spans="1:7" x14ac:dyDescent="0.3">
      <c r="A511" t="s">
        <v>34</v>
      </c>
      <c r="B511" t="s">
        <v>26</v>
      </c>
      <c r="C511" t="s">
        <v>23</v>
      </c>
      <c r="D511" t="s">
        <v>19</v>
      </c>
      <c r="E511" s="17">
        <v>3578.03</v>
      </c>
      <c r="F511" s="17">
        <v>1383.24</v>
      </c>
      <c r="G511" s="17">
        <v>1383.24</v>
      </c>
    </row>
    <row r="512" spans="1:7" x14ac:dyDescent="0.3">
      <c r="A512" t="s">
        <v>34</v>
      </c>
      <c r="B512" t="s">
        <v>26</v>
      </c>
      <c r="C512" t="s">
        <v>23</v>
      </c>
      <c r="D512" t="s">
        <v>20</v>
      </c>
      <c r="E512" s="17">
        <v>6764.62</v>
      </c>
      <c r="F512" s="17">
        <v>1612.06</v>
      </c>
      <c r="G512" s="17">
        <v>1612.06</v>
      </c>
    </row>
    <row r="513" spans="1:7" x14ac:dyDescent="0.3">
      <c r="A513" t="s">
        <v>34</v>
      </c>
      <c r="B513" t="s">
        <v>26</v>
      </c>
      <c r="C513" t="s">
        <v>23</v>
      </c>
      <c r="D513" t="s">
        <v>21</v>
      </c>
      <c r="E513" s="17">
        <v>22002.99</v>
      </c>
      <c r="F513" s="17">
        <v>5912.4500000000007</v>
      </c>
      <c r="G513" s="17">
        <v>5912.45</v>
      </c>
    </row>
    <row r="514" spans="1:7" x14ac:dyDescent="0.3">
      <c r="A514" t="s">
        <v>34</v>
      </c>
      <c r="B514" t="s">
        <v>26</v>
      </c>
      <c r="C514" t="s">
        <v>24</v>
      </c>
      <c r="D514" t="s">
        <v>18</v>
      </c>
      <c r="E514" s="17">
        <v>5393.75</v>
      </c>
      <c r="F514" s="17">
        <v>2282.33</v>
      </c>
      <c r="G514" s="17">
        <v>2282.33</v>
      </c>
    </row>
    <row r="515" spans="1:7" x14ac:dyDescent="0.3">
      <c r="A515" t="s">
        <v>34</v>
      </c>
      <c r="B515" t="s">
        <v>26</v>
      </c>
      <c r="C515" t="s">
        <v>24</v>
      </c>
      <c r="D515" t="s">
        <v>19</v>
      </c>
      <c r="E515" s="17">
        <v>2065.2199999999998</v>
      </c>
      <c r="F515" s="17">
        <v>850.38999999999987</v>
      </c>
      <c r="G515" s="17">
        <v>850.39</v>
      </c>
    </row>
    <row r="516" spans="1:7" x14ac:dyDescent="0.3">
      <c r="A516" t="s">
        <v>34</v>
      </c>
      <c r="B516" t="s">
        <v>26</v>
      </c>
      <c r="C516" t="s">
        <v>24</v>
      </c>
      <c r="D516" t="s">
        <v>20</v>
      </c>
      <c r="E516" s="17">
        <v>5327.82</v>
      </c>
      <c r="F516" s="17">
        <v>1146</v>
      </c>
      <c r="G516" s="17">
        <v>1146</v>
      </c>
    </row>
    <row r="517" spans="1:7" x14ac:dyDescent="0.3">
      <c r="A517" t="s">
        <v>34</v>
      </c>
      <c r="B517" t="s">
        <v>26</v>
      </c>
      <c r="C517" t="s">
        <v>24</v>
      </c>
      <c r="D517" t="s">
        <v>21</v>
      </c>
      <c r="E517" s="17">
        <v>7765.05</v>
      </c>
      <c r="F517" s="17">
        <v>1763.55</v>
      </c>
      <c r="G517" s="17">
        <v>1763.55</v>
      </c>
    </row>
    <row r="518" spans="1:7" x14ac:dyDescent="0.3">
      <c r="A518" t="s">
        <v>34</v>
      </c>
      <c r="B518" t="s">
        <v>26</v>
      </c>
      <c r="C518" t="s">
        <v>25</v>
      </c>
      <c r="D518" t="s">
        <v>18</v>
      </c>
      <c r="E518" s="17">
        <v>17204.330000000002</v>
      </c>
      <c r="F518" s="17">
        <v>3216.5300000000011</v>
      </c>
      <c r="G518" s="17">
        <v>3216.53</v>
      </c>
    </row>
    <row r="519" spans="1:7" x14ac:dyDescent="0.3">
      <c r="A519" t="s">
        <v>34</v>
      </c>
      <c r="B519" t="s">
        <v>26</v>
      </c>
      <c r="C519" t="s">
        <v>25</v>
      </c>
      <c r="D519" t="s">
        <v>19</v>
      </c>
      <c r="E519" s="17">
        <v>2341.79</v>
      </c>
      <c r="F519" s="17">
        <v>921.02</v>
      </c>
      <c r="G519" s="17">
        <v>921.02</v>
      </c>
    </row>
    <row r="520" spans="1:7" x14ac:dyDescent="0.3">
      <c r="A520" t="s">
        <v>34</v>
      </c>
      <c r="B520" t="s">
        <v>26</v>
      </c>
      <c r="C520" t="s">
        <v>25</v>
      </c>
      <c r="D520" t="s">
        <v>20</v>
      </c>
      <c r="E520" s="17">
        <v>7472.43</v>
      </c>
      <c r="F520" s="17">
        <v>1998.26</v>
      </c>
      <c r="G520" s="17">
        <v>1998.26</v>
      </c>
    </row>
    <row r="521" spans="1:7" x14ac:dyDescent="0.3">
      <c r="A521" t="s">
        <v>34</v>
      </c>
      <c r="B521" t="s">
        <v>26</v>
      </c>
      <c r="C521" t="s">
        <v>25</v>
      </c>
      <c r="D521" t="s">
        <v>21</v>
      </c>
      <c r="E521" s="17">
        <v>6007.66</v>
      </c>
      <c r="F521" s="17">
        <v>1166.3699999999999</v>
      </c>
      <c r="G521" s="17">
        <v>1166.3699999999999</v>
      </c>
    </row>
    <row r="522" spans="1:7" x14ac:dyDescent="0.3">
      <c r="A522" t="s">
        <v>34</v>
      </c>
      <c r="B522" t="s">
        <v>27</v>
      </c>
      <c r="C522" t="s">
        <v>17</v>
      </c>
      <c r="D522" t="s">
        <v>18</v>
      </c>
      <c r="E522" s="17">
        <v>19059.52</v>
      </c>
      <c r="F522" s="17">
        <v>6137.99</v>
      </c>
      <c r="G522" s="17">
        <v>6137.99</v>
      </c>
    </row>
    <row r="523" spans="1:7" x14ac:dyDescent="0.3">
      <c r="A523" t="s">
        <v>34</v>
      </c>
      <c r="B523" t="s">
        <v>27</v>
      </c>
      <c r="C523" t="s">
        <v>17</v>
      </c>
      <c r="D523" t="s">
        <v>19</v>
      </c>
      <c r="E523" s="17">
        <v>19150.3</v>
      </c>
      <c r="F523" s="17">
        <v>5909.52</v>
      </c>
      <c r="G523" s="17">
        <v>5909.52</v>
      </c>
    </row>
    <row r="524" spans="1:7" x14ac:dyDescent="0.3">
      <c r="A524" t="s">
        <v>34</v>
      </c>
      <c r="B524" t="s">
        <v>27</v>
      </c>
      <c r="C524" t="s">
        <v>17</v>
      </c>
      <c r="D524" t="s">
        <v>20</v>
      </c>
      <c r="E524" s="17">
        <v>19894.39</v>
      </c>
      <c r="F524" s="17">
        <v>6337.84</v>
      </c>
      <c r="G524" s="17">
        <v>6337.84</v>
      </c>
    </row>
    <row r="525" spans="1:7" x14ac:dyDescent="0.3">
      <c r="A525" t="s">
        <v>34</v>
      </c>
      <c r="B525" t="s">
        <v>27</v>
      </c>
      <c r="C525" t="s">
        <v>17</v>
      </c>
      <c r="D525" t="s">
        <v>21</v>
      </c>
      <c r="E525" s="17">
        <v>4508.24</v>
      </c>
      <c r="F525" s="17">
        <v>1424.77</v>
      </c>
      <c r="G525" s="17">
        <v>1424.77</v>
      </c>
    </row>
    <row r="526" spans="1:7" x14ac:dyDescent="0.3">
      <c r="A526" t="s">
        <v>34</v>
      </c>
      <c r="B526" t="s">
        <v>27</v>
      </c>
      <c r="C526" t="s">
        <v>22</v>
      </c>
      <c r="D526" t="s">
        <v>18</v>
      </c>
      <c r="E526" s="17">
        <v>23744.560000000001</v>
      </c>
      <c r="F526" s="17">
        <v>4552.0400000000009</v>
      </c>
      <c r="G526" s="17">
        <v>4552.04</v>
      </c>
    </row>
    <row r="527" spans="1:7" x14ac:dyDescent="0.3">
      <c r="A527" t="s">
        <v>34</v>
      </c>
      <c r="B527" t="s">
        <v>27</v>
      </c>
      <c r="C527" t="s">
        <v>22</v>
      </c>
      <c r="D527" t="s">
        <v>19</v>
      </c>
      <c r="E527" s="17">
        <v>20014.22</v>
      </c>
      <c r="F527" s="17">
        <v>8287.59</v>
      </c>
      <c r="G527" s="17">
        <v>8287.59</v>
      </c>
    </row>
    <row r="528" spans="1:7" x14ac:dyDescent="0.3">
      <c r="A528" t="s">
        <v>34</v>
      </c>
      <c r="B528" t="s">
        <v>27</v>
      </c>
      <c r="C528" t="s">
        <v>22</v>
      </c>
      <c r="D528" t="s">
        <v>20</v>
      </c>
      <c r="E528" s="17">
        <v>13993.38</v>
      </c>
      <c r="F528" s="17">
        <v>4249.3900000000012</v>
      </c>
      <c r="G528" s="17">
        <v>4249.3900000000003</v>
      </c>
    </row>
    <row r="529" spans="1:7" x14ac:dyDescent="0.3">
      <c r="A529" t="s">
        <v>34</v>
      </c>
      <c r="B529" t="s">
        <v>27</v>
      </c>
      <c r="C529" t="s">
        <v>22</v>
      </c>
      <c r="D529" t="s">
        <v>21</v>
      </c>
      <c r="E529" s="17">
        <v>24172.6</v>
      </c>
      <c r="F529" s="17">
        <v>4748.0499999999993</v>
      </c>
      <c r="G529" s="17">
        <v>4748.05</v>
      </c>
    </row>
    <row r="530" spans="1:7" x14ac:dyDescent="0.3">
      <c r="A530" t="s">
        <v>34</v>
      </c>
      <c r="B530" t="s">
        <v>27</v>
      </c>
      <c r="C530" t="s">
        <v>23</v>
      </c>
      <c r="D530" t="s">
        <v>18</v>
      </c>
      <c r="E530" s="17">
        <v>13016.58</v>
      </c>
      <c r="F530" s="17">
        <v>3754.4600000000009</v>
      </c>
      <c r="G530" s="17">
        <v>3754.46</v>
      </c>
    </row>
    <row r="531" spans="1:7" x14ac:dyDescent="0.3">
      <c r="A531" t="s">
        <v>34</v>
      </c>
      <c r="B531" t="s">
        <v>27</v>
      </c>
      <c r="C531" t="s">
        <v>23</v>
      </c>
      <c r="D531" t="s">
        <v>19</v>
      </c>
      <c r="E531" s="17">
        <v>17780.240000000002</v>
      </c>
      <c r="F531" s="17">
        <v>5554.0600000000013</v>
      </c>
      <c r="G531" s="17">
        <v>5554.06</v>
      </c>
    </row>
    <row r="532" spans="1:7" x14ac:dyDescent="0.3">
      <c r="A532" t="s">
        <v>34</v>
      </c>
      <c r="B532" t="s">
        <v>27</v>
      </c>
      <c r="C532" t="s">
        <v>23</v>
      </c>
      <c r="D532" t="s">
        <v>20</v>
      </c>
      <c r="E532" s="17">
        <v>22923.119999999999</v>
      </c>
      <c r="F532" s="17">
        <v>4581.0099999999984</v>
      </c>
      <c r="G532" s="17">
        <v>4581.01</v>
      </c>
    </row>
    <row r="533" spans="1:7" x14ac:dyDescent="0.3">
      <c r="A533" t="s">
        <v>34</v>
      </c>
      <c r="B533" t="s">
        <v>27</v>
      </c>
      <c r="C533" t="s">
        <v>23</v>
      </c>
      <c r="D533" t="s">
        <v>21</v>
      </c>
      <c r="E533" s="17">
        <v>3858.18</v>
      </c>
      <c r="F533" s="17">
        <v>1328.14</v>
      </c>
      <c r="G533" s="17">
        <v>1328.14</v>
      </c>
    </row>
    <row r="534" spans="1:7" x14ac:dyDescent="0.3">
      <c r="A534" t="s">
        <v>34</v>
      </c>
      <c r="B534" t="s">
        <v>27</v>
      </c>
      <c r="C534" t="s">
        <v>24</v>
      </c>
      <c r="D534" t="s">
        <v>18</v>
      </c>
      <c r="E534" s="17">
        <v>3510.69</v>
      </c>
      <c r="F534" s="17">
        <v>892.61000000000013</v>
      </c>
      <c r="G534" s="17">
        <v>892.61</v>
      </c>
    </row>
    <row r="535" spans="1:7" x14ac:dyDescent="0.3">
      <c r="A535" t="s">
        <v>34</v>
      </c>
      <c r="B535" t="s">
        <v>27</v>
      </c>
      <c r="C535" t="s">
        <v>24</v>
      </c>
      <c r="D535" t="s">
        <v>19</v>
      </c>
      <c r="E535" s="17">
        <v>16560.759999999998</v>
      </c>
      <c r="F535" s="17">
        <v>5432.8600000000006</v>
      </c>
      <c r="G535" s="17">
        <v>5432.86</v>
      </c>
    </row>
    <row r="536" spans="1:7" x14ac:dyDescent="0.3">
      <c r="A536" t="s">
        <v>34</v>
      </c>
      <c r="B536" t="s">
        <v>27</v>
      </c>
      <c r="C536" t="s">
        <v>24</v>
      </c>
      <c r="D536" t="s">
        <v>20</v>
      </c>
      <c r="E536" s="17">
        <v>9479.27</v>
      </c>
      <c r="F536" s="17">
        <v>4251.92</v>
      </c>
      <c r="G536" s="17">
        <v>4251.92</v>
      </c>
    </row>
    <row r="537" spans="1:7" x14ac:dyDescent="0.3">
      <c r="A537" t="s">
        <v>34</v>
      </c>
      <c r="B537" t="s">
        <v>27</v>
      </c>
      <c r="C537" t="s">
        <v>24</v>
      </c>
      <c r="D537" t="s">
        <v>21</v>
      </c>
      <c r="E537" s="17">
        <v>14202.81</v>
      </c>
      <c r="F537" s="17">
        <v>4296.3900000000012</v>
      </c>
      <c r="G537" s="17">
        <v>4296.3900000000003</v>
      </c>
    </row>
    <row r="538" spans="1:7" x14ac:dyDescent="0.3">
      <c r="A538" t="s">
        <v>34</v>
      </c>
      <c r="B538" t="s">
        <v>27</v>
      </c>
      <c r="C538" t="s">
        <v>25</v>
      </c>
      <c r="D538" t="s">
        <v>18</v>
      </c>
      <c r="E538" s="17">
        <v>15924.82</v>
      </c>
      <c r="F538" s="17">
        <v>3292.91</v>
      </c>
      <c r="G538" s="17">
        <v>3292.91</v>
      </c>
    </row>
    <row r="539" spans="1:7" x14ac:dyDescent="0.3">
      <c r="A539" t="s">
        <v>34</v>
      </c>
      <c r="B539" t="s">
        <v>27</v>
      </c>
      <c r="C539" t="s">
        <v>25</v>
      </c>
      <c r="D539" t="s">
        <v>19</v>
      </c>
      <c r="E539" s="17">
        <v>18140.93</v>
      </c>
      <c r="F539" s="17">
        <v>7442.3899999999994</v>
      </c>
      <c r="G539" s="17">
        <v>7442.39</v>
      </c>
    </row>
    <row r="540" spans="1:7" x14ac:dyDescent="0.3">
      <c r="A540" t="s">
        <v>34</v>
      </c>
      <c r="B540" t="s">
        <v>27</v>
      </c>
      <c r="C540" t="s">
        <v>25</v>
      </c>
      <c r="D540" t="s">
        <v>20</v>
      </c>
      <c r="E540" s="17">
        <v>16971.080000000002</v>
      </c>
      <c r="F540" s="17">
        <v>6578.33</v>
      </c>
      <c r="G540" s="17">
        <v>6578.33</v>
      </c>
    </row>
    <row r="541" spans="1:7" x14ac:dyDescent="0.3">
      <c r="A541" t="s">
        <v>34</v>
      </c>
      <c r="B541" t="s">
        <v>27</v>
      </c>
      <c r="C541" t="s">
        <v>25</v>
      </c>
      <c r="D541" t="s">
        <v>21</v>
      </c>
      <c r="E541" s="17">
        <v>18579.32</v>
      </c>
      <c r="F541" s="17">
        <v>4422.92</v>
      </c>
      <c r="G541" s="17">
        <v>4422.92</v>
      </c>
    </row>
    <row r="542" spans="1:7" x14ac:dyDescent="0.3">
      <c r="A542" t="s">
        <v>34</v>
      </c>
      <c r="B542" t="s">
        <v>28</v>
      </c>
      <c r="C542" t="s">
        <v>17</v>
      </c>
      <c r="D542" t="s">
        <v>18</v>
      </c>
      <c r="E542" s="17">
        <v>12385.76</v>
      </c>
      <c r="F542" s="17">
        <v>2993.5500000000011</v>
      </c>
      <c r="G542" s="17">
        <v>2993.55</v>
      </c>
    </row>
    <row r="543" spans="1:7" x14ac:dyDescent="0.3">
      <c r="A543" t="s">
        <v>34</v>
      </c>
      <c r="B543" t="s">
        <v>28</v>
      </c>
      <c r="C543" t="s">
        <v>17</v>
      </c>
      <c r="D543" t="s">
        <v>19</v>
      </c>
      <c r="E543" s="17">
        <v>9795.43</v>
      </c>
      <c r="F543" s="17">
        <v>2962.58</v>
      </c>
      <c r="G543" s="17">
        <v>2962.58</v>
      </c>
    </row>
    <row r="544" spans="1:7" x14ac:dyDescent="0.3">
      <c r="A544" t="s">
        <v>34</v>
      </c>
      <c r="B544" t="s">
        <v>28</v>
      </c>
      <c r="C544" t="s">
        <v>17</v>
      </c>
      <c r="D544" t="s">
        <v>20</v>
      </c>
      <c r="E544" s="17">
        <v>11567.76</v>
      </c>
      <c r="F544" s="17">
        <v>2379.1799999999998</v>
      </c>
      <c r="G544" s="17">
        <v>2379.1799999999998</v>
      </c>
    </row>
    <row r="545" spans="1:7" x14ac:dyDescent="0.3">
      <c r="A545" t="s">
        <v>34</v>
      </c>
      <c r="B545" t="s">
        <v>28</v>
      </c>
      <c r="C545" t="s">
        <v>17</v>
      </c>
      <c r="D545" t="s">
        <v>21</v>
      </c>
      <c r="E545" s="17">
        <v>11815.57</v>
      </c>
      <c r="F545" s="17">
        <v>4248.63</v>
      </c>
      <c r="G545" s="17">
        <v>4248.63</v>
      </c>
    </row>
    <row r="546" spans="1:7" x14ac:dyDescent="0.3">
      <c r="A546" t="s">
        <v>34</v>
      </c>
      <c r="B546" t="s">
        <v>28</v>
      </c>
      <c r="C546" t="s">
        <v>22</v>
      </c>
      <c r="D546" t="s">
        <v>18</v>
      </c>
      <c r="E546" s="17">
        <v>10608.92</v>
      </c>
      <c r="F546" s="17">
        <v>2346.83</v>
      </c>
      <c r="G546" s="17">
        <v>2346.83</v>
      </c>
    </row>
    <row r="547" spans="1:7" x14ac:dyDescent="0.3">
      <c r="A547" t="s">
        <v>34</v>
      </c>
      <c r="B547" t="s">
        <v>28</v>
      </c>
      <c r="C547" t="s">
        <v>22</v>
      </c>
      <c r="D547" t="s">
        <v>19</v>
      </c>
      <c r="E547" s="17">
        <v>23228.66</v>
      </c>
      <c r="F547" s="17">
        <v>4602.2000000000007</v>
      </c>
      <c r="G547" s="17">
        <v>4602.2</v>
      </c>
    </row>
    <row r="548" spans="1:7" x14ac:dyDescent="0.3">
      <c r="A548" t="s">
        <v>34</v>
      </c>
      <c r="B548" t="s">
        <v>28</v>
      </c>
      <c r="C548" t="s">
        <v>22</v>
      </c>
      <c r="D548" t="s">
        <v>20</v>
      </c>
      <c r="E548" s="17">
        <v>21130.75</v>
      </c>
      <c r="F548" s="17">
        <v>4335.4399999999987</v>
      </c>
      <c r="G548" s="17">
        <v>4335.4399999999996</v>
      </c>
    </row>
    <row r="549" spans="1:7" x14ac:dyDescent="0.3">
      <c r="A549" t="s">
        <v>34</v>
      </c>
      <c r="B549" t="s">
        <v>28</v>
      </c>
      <c r="C549" t="s">
        <v>22</v>
      </c>
      <c r="D549" t="s">
        <v>21</v>
      </c>
      <c r="E549" s="17">
        <v>4220.9799999999996</v>
      </c>
      <c r="F549" s="17">
        <v>1601.76</v>
      </c>
      <c r="G549" s="17">
        <v>1601.76</v>
      </c>
    </row>
    <row r="550" spans="1:7" x14ac:dyDescent="0.3">
      <c r="A550" t="s">
        <v>34</v>
      </c>
      <c r="B550" t="s">
        <v>28</v>
      </c>
      <c r="C550" t="s">
        <v>23</v>
      </c>
      <c r="D550" t="s">
        <v>18</v>
      </c>
      <c r="E550" s="17">
        <v>20670.689999999999</v>
      </c>
      <c r="F550" s="17">
        <v>6825.880000000001</v>
      </c>
      <c r="G550" s="17">
        <v>6825.88</v>
      </c>
    </row>
    <row r="551" spans="1:7" x14ac:dyDescent="0.3">
      <c r="A551" t="s">
        <v>34</v>
      </c>
      <c r="B551" t="s">
        <v>28</v>
      </c>
      <c r="C551" t="s">
        <v>23</v>
      </c>
      <c r="D551" t="s">
        <v>19</v>
      </c>
      <c r="E551" s="17">
        <v>15488.7</v>
      </c>
      <c r="F551" s="17">
        <v>5136.49</v>
      </c>
      <c r="G551" s="17">
        <v>5136.49</v>
      </c>
    </row>
    <row r="552" spans="1:7" x14ac:dyDescent="0.3">
      <c r="A552" t="s">
        <v>34</v>
      </c>
      <c r="B552" t="s">
        <v>28</v>
      </c>
      <c r="C552" t="s">
        <v>23</v>
      </c>
      <c r="D552" t="s">
        <v>20</v>
      </c>
      <c r="E552" s="17">
        <v>9581.86</v>
      </c>
      <c r="F552" s="17">
        <v>2040.96</v>
      </c>
      <c r="G552" s="17">
        <v>2040.96</v>
      </c>
    </row>
    <row r="553" spans="1:7" x14ac:dyDescent="0.3">
      <c r="A553" t="s">
        <v>34</v>
      </c>
      <c r="B553" t="s">
        <v>28</v>
      </c>
      <c r="C553" t="s">
        <v>23</v>
      </c>
      <c r="D553" t="s">
        <v>21</v>
      </c>
      <c r="E553" s="17">
        <v>10132.76</v>
      </c>
      <c r="F553" s="17">
        <v>3644.17</v>
      </c>
      <c r="G553" s="17">
        <v>3644.17</v>
      </c>
    </row>
    <row r="554" spans="1:7" x14ac:dyDescent="0.3">
      <c r="A554" t="s">
        <v>34</v>
      </c>
      <c r="B554" t="s">
        <v>28</v>
      </c>
      <c r="C554" t="s">
        <v>24</v>
      </c>
      <c r="D554" t="s">
        <v>18</v>
      </c>
      <c r="E554" s="17">
        <v>19256.54</v>
      </c>
      <c r="F554" s="17">
        <v>7979.619999999999</v>
      </c>
      <c r="G554" s="17">
        <v>7979.62</v>
      </c>
    </row>
    <row r="555" spans="1:7" x14ac:dyDescent="0.3">
      <c r="A555" t="s">
        <v>34</v>
      </c>
      <c r="B555" t="s">
        <v>28</v>
      </c>
      <c r="C555" t="s">
        <v>24</v>
      </c>
      <c r="D555" t="s">
        <v>19</v>
      </c>
      <c r="E555" s="17">
        <v>18584.400000000001</v>
      </c>
      <c r="F555" s="17">
        <v>8204.41</v>
      </c>
      <c r="G555" s="17">
        <v>8204.41</v>
      </c>
    </row>
    <row r="556" spans="1:7" x14ac:dyDescent="0.3">
      <c r="A556" t="s">
        <v>34</v>
      </c>
      <c r="B556" t="s">
        <v>28</v>
      </c>
      <c r="C556" t="s">
        <v>24</v>
      </c>
      <c r="D556" t="s">
        <v>20</v>
      </c>
      <c r="E556" s="17">
        <v>15809.43</v>
      </c>
      <c r="F556" s="17">
        <v>4346.7200000000012</v>
      </c>
      <c r="G556" s="17">
        <v>4346.72</v>
      </c>
    </row>
    <row r="557" spans="1:7" x14ac:dyDescent="0.3">
      <c r="A557" t="s">
        <v>34</v>
      </c>
      <c r="B557" t="s">
        <v>28</v>
      </c>
      <c r="C557" t="s">
        <v>24</v>
      </c>
      <c r="D557" t="s">
        <v>21</v>
      </c>
      <c r="E557" s="17">
        <v>15292.13</v>
      </c>
      <c r="F557" s="17">
        <v>3630.9600000000009</v>
      </c>
      <c r="G557" s="17">
        <v>3630.96</v>
      </c>
    </row>
    <row r="558" spans="1:7" x14ac:dyDescent="0.3">
      <c r="A558" t="s">
        <v>34</v>
      </c>
      <c r="B558" t="s">
        <v>28</v>
      </c>
      <c r="C558" t="s">
        <v>25</v>
      </c>
      <c r="D558" t="s">
        <v>18</v>
      </c>
      <c r="E558" s="17">
        <v>17104.93</v>
      </c>
      <c r="F558" s="17">
        <v>4114.5200000000004</v>
      </c>
      <c r="G558" s="17">
        <v>4114.5200000000004</v>
      </c>
    </row>
    <row r="559" spans="1:7" x14ac:dyDescent="0.3">
      <c r="A559" t="s">
        <v>34</v>
      </c>
      <c r="B559" t="s">
        <v>28</v>
      </c>
      <c r="C559" t="s">
        <v>25</v>
      </c>
      <c r="D559" t="s">
        <v>19</v>
      </c>
      <c r="E559" s="17">
        <v>4489.0200000000004</v>
      </c>
      <c r="F559" s="17">
        <v>1832.65</v>
      </c>
      <c r="G559" s="17">
        <v>1832.65</v>
      </c>
    </row>
    <row r="560" spans="1:7" x14ac:dyDescent="0.3">
      <c r="A560" t="s">
        <v>34</v>
      </c>
      <c r="B560" t="s">
        <v>28</v>
      </c>
      <c r="C560" t="s">
        <v>25</v>
      </c>
      <c r="D560" t="s">
        <v>20</v>
      </c>
      <c r="E560" s="17">
        <v>10453.9</v>
      </c>
      <c r="F560" s="17">
        <v>4034.2</v>
      </c>
      <c r="G560" s="17">
        <v>4034.2</v>
      </c>
    </row>
    <row r="561" spans="1:7" x14ac:dyDescent="0.3">
      <c r="A561" t="s">
        <v>34</v>
      </c>
      <c r="B561" t="s">
        <v>28</v>
      </c>
      <c r="C561" t="s">
        <v>25</v>
      </c>
      <c r="D561" t="s">
        <v>21</v>
      </c>
      <c r="E561" s="17">
        <v>15204.3</v>
      </c>
      <c r="F561" s="17">
        <v>6050.5499999999993</v>
      </c>
      <c r="G561" s="17">
        <v>6050.55</v>
      </c>
    </row>
    <row r="562" spans="1:7" x14ac:dyDescent="0.3">
      <c r="A562" t="s">
        <v>35</v>
      </c>
      <c r="B562" t="s">
        <v>16</v>
      </c>
      <c r="C562" t="s">
        <v>17</v>
      </c>
      <c r="D562" t="s">
        <v>18</v>
      </c>
      <c r="E562" s="17">
        <v>21438.57</v>
      </c>
      <c r="F562" s="17">
        <v>9500.02</v>
      </c>
      <c r="G562" s="17">
        <v>9500.02</v>
      </c>
    </row>
    <row r="563" spans="1:7" x14ac:dyDescent="0.3">
      <c r="A563" t="s">
        <v>35</v>
      </c>
      <c r="B563" t="s">
        <v>16</v>
      </c>
      <c r="C563" t="s">
        <v>17</v>
      </c>
      <c r="D563" t="s">
        <v>19</v>
      </c>
      <c r="E563" s="17">
        <v>20823.82</v>
      </c>
      <c r="F563" s="17">
        <v>7198.0600000000013</v>
      </c>
      <c r="G563" s="17">
        <v>7198.06</v>
      </c>
    </row>
    <row r="564" spans="1:7" x14ac:dyDescent="0.3">
      <c r="A564" t="s">
        <v>35</v>
      </c>
      <c r="B564" t="s">
        <v>16</v>
      </c>
      <c r="C564" t="s">
        <v>17</v>
      </c>
      <c r="D564" t="s">
        <v>20</v>
      </c>
      <c r="E564" s="17">
        <v>16782.080000000002</v>
      </c>
      <c r="F564" s="17">
        <v>3139.73</v>
      </c>
      <c r="G564" s="17">
        <v>3139.73</v>
      </c>
    </row>
    <row r="565" spans="1:7" x14ac:dyDescent="0.3">
      <c r="A565" t="s">
        <v>35</v>
      </c>
      <c r="B565" t="s">
        <v>16</v>
      </c>
      <c r="C565" t="s">
        <v>17</v>
      </c>
      <c r="D565" t="s">
        <v>21</v>
      </c>
      <c r="E565" s="17">
        <v>23368.94</v>
      </c>
      <c r="F565" s="17">
        <v>9439.99</v>
      </c>
      <c r="G565" s="17">
        <v>9439.99</v>
      </c>
    </row>
    <row r="566" spans="1:7" x14ac:dyDescent="0.3">
      <c r="A566" t="s">
        <v>35</v>
      </c>
      <c r="B566" t="s">
        <v>16</v>
      </c>
      <c r="C566" t="s">
        <v>22</v>
      </c>
      <c r="D566" t="s">
        <v>18</v>
      </c>
      <c r="E566" s="17">
        <v>8151.3</v>
      </c>
      <c r="F566" s="17">
        <v>1864.3</v>
      </c>
      <c r="G566" s="17">
        <v>1864.3</v>
      </c>
    </row>
    <row r="567" spans="1:7" x14ac:dyDescent="0.3">
      <c r="A567" t="s">
        <v>35</v>
      </c>
      <c r="B567" t="s">
        <v>16</v>
      </c>
      <c r="C567" t="s">
        <v>22</v>
      </c>
      <c r="D567" t="s">
        <v>19</v>
      </c>
      <c r="E567" s="17">
        <v>18162.07</v>
      </c>
      <c r="F567" s="17">
        <v>4784.3600000000006</v>
      </c>
      <c r="G567" s="17">
        <v>4784.3599999999997</v>
      </c>
    </row>
    <row r="568" spans="1:7" x14ac:dyDescent="0.3">
      <c r="A568" t="s">
        <v>35</v>
      </c>
      <c r="B568" t="s">
        <v>16</v>
      </c>
      <c r="C568" t="s">
        <v>22</v>
      </c>
      <c r="D568" t="s">
        <v>20</v>
      </c>
      <c r="E568" s="17">
        <v>9815.9699999999993</v>
      </c>
      <c r="F568" s="17">
        <v>1783.059999999999</v>
      </c>
      <c r="G568" s="17">
        <v>1783.06</v>
      </c>
    </row>
    <row r="569" spans="1:7" x14ac:dyDescent="0.3">
      <c r="A569" t="s">
        <v>35</v>
      </c>
      <c r="B569" t="s">
        <v>16</v>
      </c>
      <c r="C569" t="s">
        <v>22</v>
      </c>
      <c r="D569" t="s">
        <v>21</v>
      </c>
      <c r="E569" s="17">
        <v>22006.84</v>
      </c>
      <c r="F569" s="17">
        <v>7326.2200000000012</v>
      </c>
      <c r="G569" s="17">
        <v>7326.22</v>
      </c>
    </row>
    <row r="570" spans="1:7" x14ac:dyDescent="0.3">
      <c r="A570" t="s">
        <v>35</v>
      </c>
      <c r="B570" t="s">
        <v>16</v>
      </c>
      <c r="C570" t="s">
        <v>23</v>
      </c>
      <c r="D570" t="s">
        <v>18</v>
      </c>
      <c r="E570" s="17">
        <v>11218.04</v>
      </c>
      <c r="F570" s="17">
        <v>2448.9699999999989</v>
      </c>
      <c r="G570" s="17">
        <v>2448.9699999999998</v>
      </c>
    </row>
    <row r="571" spans="1:7" x14ac:dyDescent="0.3">
      <c r="A571" t="s">
        <v>35</v>
      </c>
      <c r="B571" t="s">
        <v>16</v>
      </c>
      <c r="C571" t="s">
        <v>23</v>
      </c>
      <c r="D571" t="s">
        <v>19</v>
      </c>
      <c r="E571" s="17">
        <v>16562.96</v>
      </c>
      <c r="F571" s="17">
        <v>3118.43</v>
      </c>
      <c r="G571" s="17">
        <v>3118.43</v>
      </c>
    </row>
    <row r="572" spans="1:7" x14ac:dyDescent="0.3">
      <c r="A572" t="s">
        <v>35</v>
      </c>
      <c r="B572" t="s">
        <v>16</v>
      </c>
      <c r="C572" t="s">
        <v>23</v>
      </c>
      <c r="D572" t="s">
        <v>20</v>
      </c>
      <c r="E572" s="17">
        <v>19160.57</v>
      </c>
      <c r="F572" s="17">
        <v>4561.8600000000006</v>
      </c>
      <c r="G572" s="17">
        <v>4561.8599999999997</v>
      </c>
    </row>
    <row r="573" spans="1:7" x14ac:dyDescent="0.3">
      <c r="A573" t="s">
        <v>35</v>
      </c>
      <c r="B573" t="s">
        <v>16</v>
      </c>
      <c r="C573" t="s">
        <v>23</v>
      </c>
      <c r="D573" t="s">
        <v>21</v>
      </c>
      <c r="E573" s="17">
        <v>11656.15</v>
      </c>
      <c r="F573" s="17">
        <v>3170.9600000000009</v>
      </c>
      <c r="G573" s="17">
        <v>3170.96</v>
      </c>
    </row>
    <row r="574" spans="1:7" x14ac:dyDescent="0.3">
      <c r="A574" t="s">
        <v>35</v>
      </c>
      <c r="B574" t="s">
        <v>16</v>
      </c>
      <c r="C574" t="s">
        <v>24</v>
      </c>
      <c r="D574" t="s">
        <v>18</v>
      </c>
      <c r="E574" s="17">
        <v>10511.22</v>
      </c>
      <c r="F574" s="17">
        <v>3939.93</v>
      </c>
      <c r="G574" s="17">
        <v>3939.93</v>
      </c>
    </row>
    <row r="575" spans="1:7" x14ac:dyDescent="0.3">
      <c r="A575" t="s">
        <v>35</v>
      </c>
      <c r="B575" t="s">
        <v>16</v>
      </c>
      <c r="C575" t="s">
        <v>24</v>
      </c>
      <c r="D575" t="s">
        <v>19</v>
      </c>
      <c r="E575" s="17">
        <v>19867.22</v>
      </c>
      <c r="F575" s="17">
        <v>6620.76</v>
      </c>
      <c r="G575" s="17">
        <v>6620.76</v>
      </c>
    </row>
    <row r="576" spans="1:7" x14ac:dyDescent="0.3">
      <c r="A576" t="s">
        <v>35</v>
      </c>
      <c r="B576" t="s">
        <v>16</v>
      </c>
      <c r="C576" t="s">
        <v>24</v>
      </c>
      <c r="D576" t="s">
        <v>20</v>
      </c>
      <c r="E576" s="17">
        <v>3954.01</v>
      </c>
      <c r="F576" s="17">
        <v>767.88999999999987</v>
      </c>
      <c r="G576" s="17">
        <v>767.89</v>
      </c>
    </row>
    <row r="577" spans="1:7" x14ac:dyDescent="0.3">
      <c r="A577" t="s">
        <v>35</v>
      </c>
      <c r="B577" t="s">
        <v>16</v>
      </c>
      <c r="C577" t="s">
        <v>24</v>
      </c>
      <c r="D577" t="s">
        <v>21</v>
      </c>
      <c r="E577" s="17">
        <v>5620.43</v>
      </c>
      <c r="F577" s="17">
        <v>1949.26</v>
      </c>
      <c r="G577" s="17">
        <v>1949.26</v>
      </c>
    </row>
    <row r="578" spans="1:7" x14ac:dyDescent="0.3">
      <c r="A578" t="s">
        <v>35</v>
      </c>
      <c r="B578" t="s">
        <v>16</v>
      </c>
      <c r="C578" t="s">
        <v>25</v>
      </c>
      <c r="D578" t="s">
        <v>18</v>
      </c>
      <c r="E578" s="17">
        <v>17501.28</v>
      </c>
      <c r="F578" s="17">
        <v>4436.01</v>
      </c>
      <c r="G578" s="17">
        <v>4436.01</v>
      </c>
    </row>
    <row r="579" spans="1:7" x14ac:dyDescent="0.3">
      <c r="A579" t="s">
        <v>35</v>
      </c>
      <c r="B579" t="s">
        <v>16</v>
      </c>
      <c r="C579" t="s">
        <v>25</v>
      </c>
      <c r="D579" t="s">
        <v>19</v>
      </c>
      <c r="E579" s="17">
        <v>17224.59</v>
      </c>
      <c r="F579" s="17">
        <v>5359.0600000000013</v>
      </c>
      <c r="G579" s="17">
        <v>5359.06</v>
      </c>
    </row>
    <row r="580" spans="1:7" x14ac:dyDescent="0.3">
      <c r="A580" t="s">
        <v>35</v>
      </c>
      <c r="B580" t="s">
        <v>16</v>
      </c>
      <c r="C580" t="s">
        <v>25</v>
      </c>
      <c r="D580" t="s">
        <v>20</v>
      </c>
      <c r="E580" s="17">
        <v>12167.02</v>
      </c>
      <c r="F580" s="17">
        <v>3087.440000000001</v>
      </c>
      <c r="G580" s="17">
        <v>3087.44</v>
      </c>
    </row>
    <row r="581" spans="1:7" x14ac:dyDescent="0.3">
      <c r="A581" t="s">
        <v>35</v>
      </c>
      <c r="B581" t="s">
        <v>16</v>
      </c>
      <c r="C581" t="s">
        <v>25</v>
      </c>
      <c r="D581" t="s">
        <v>21</v>
      </c>
      <c r="E581" s="17">
        <v>19363.689999999999</v>
      </c>
      <c r="F581" s="17">
        <v>4080.52</v>
      </c>
      <c r="G581" s="17">
        <v>4080.52</v>
      </c>
    </row>
    <row r="582" spans="1:7" x14ac:dyDescent="0.3">
      <c r="A582" t="s">
        <v>35</v>
      </c>
      <c r="B582" t="s">
        <v>26</v>
      </c>
      <c r="C582" t="s">
        <v>17</v>
      </c>
      <c r="D582" t="s">
        <v>18</v>
      </c>
      <c r="E582" s="17">
        <v>11888.01</v>
      </c>
      <c r="F582" s="17">
        <v>3049</v>
      </c>
      <c r="G582" s="17">
        <v>3049</v>
      </c>
    </row>
    <row r="583" spans="1:7" x14ac:dyDescent="0.3">
      <c r="A583" t="s">
        <v>35</v>
      </c>
      <c r="B583" t="s">
        <v>26</v>
      </c>
      <c r="C583" t="s">
        <v>17</v>
      </c>
      <c r="D583" t="s">
        <v>19</v>
      </c>
      <c r="E583" s="17">
        <v>17605.18</v>
      </c>
      <c r="F583" s="17">
        <v>5482.09</v>
      </c>
      <c r="G583" s="17">
        <v>5482.09</v>
      </c>
    </row>
    <row r="584" spans="1:7" x14ac:dyDescent="0.3">
      <c r="A584" t="s">
        <v>35</v>
      </c>
      <c r="B584" t="s">
        <v>26</v>
      </c>
      <c r="C584" t="s">
        <v>17</v>
      </c>
      <c r="D584" t="s">
        <v>20</v>
      </c>
      <c r="E584" s="17">
        <v>17344.05</v>
      </c>
      <c r="F584" s="17">
        <v>3334.610000000001</v>
      </c>
      <c r="G584" s="17">
        <v>3334.61</v>
      </c>
    </row>
    <row r="585" spans="1:7" x14ac:dyDescent="0.3">
      <c r="A585" t="s">
        <v>35</v>
      </c>
      <c r="B585" t="s">
        <v>26</v>
      </c>
      <c r="C585" t="s">
        <v>17</v>
      </c>
      <c r="D585" t="s">
        <v>21</v>
      </c>
      <c r="E585" s="17">
        <v>11091.06</v>
      </c>
      <c r="F585" s="17">
        <v>3791.12</v>
      </c>
      <c r="G585" s="17">
        <v>3791.12</v>
      </c>
    </row>
    <row r="586" spans="1:7" x14ac:dyDescent="0.3">
      <c r="A586" t="s">
        <v>35</v>
      </c>
      <c r="B586" t="s">
        <v>26</v>
      </c>
      <c r="C586" t="s">
        <v>22</v>
      </c>
      <c r="D586" t="s">
        <v>18</v>
      </c>
      <c r="E586" s="17">
        <v>2176.8000000000002</v>
      </c>
      <c r="F586" s="17">
        <v>568.98</v>
      </c>
      <c r="G586" s="17">
        <v>568.98</v>
      </c>
    </row>
    <row r="587" spans="1:7" x14ac:dyDescent="0.3">
      <c r="A587" t="s">
        <v>35</v>
      </c>
      <c r="B587" t="s">
        <v>26</v>
      </c>
      <c r="C587" t="s">
        <v>22</v>
      </c>
      <c r="D587" t="s">
        <v>19</v>
      </c>
      <c r="E587" s="17">
        <v>6858.38</v>
      </c>
      <c r="F587" s="17">
        <v>1488.63</v>
      </c>
      <c r="G587" s="17">
        <v>1488.63</v>
      </c>
    </row>
    <row r="588" spans="1:7" x14ac:dyDescent="0.3">
      <c r="A588" t="s">
        <v>35</v>
      </c>
      <c r="B588" t="s">
        <v>26</v>
      </c>
      <c r="C588" t="s">
        <v>22</v>
      </c>
      <c r="D588" t="s">
        <v>20</v>
      </c>
      <c r="E588" s="17">
        <v>7876.95</v>
      </c>
      <c r="F588" s="17">
        <v>2115.69</v>
      </c>
      <c r="G588" s="17">
        <v>2115.69</v>
      </c>
    </row>
    <row r="589" spans="1:7" x14ac:dyDescent="0.3">
      <c r="A589" t="s">
        <v>35</v>
      </c>
      <c r="B589" t="s">
        <v>26</v>
      </c>
      <c r="C589" t="s">
        <v>22</v>
      </c>
      <c r="D589" t="s">
        <v>21</v>
      </c>
      <c r="E589" s="17">
        <v>2177.79</v>
      </c>
      <c r="F589" s="17">
        <v>831.25</v>
      </c>
      <c r="G589" s="17">
        <v>831.25</v>
      </c>
    </row>
    <row r="590" spans="1:7" x14ac:dyDescent="0.3">
      <c r="A590" t="s">
        <v>35</v>
      </c>
      <c r="B590" t="s">
        <v>26</v>
      </c>
      <c r="C590" t="s">
        <v>23</v>
      </c>
      <c r="D590" t="s">
        <v>18</v>
      </c>
      <c r="E590" s="17">
        <v>6040.98</v>
      </c>
      <c r="F590" s="17">
        <v>1707.52</v>
      </c>
      <c r="G590" s="17">
        <v>1707.52</v>
      </c>
    </row>
    <row r="591" spans="1:7" x14ac:dyDescent="0.3">
      <c r="A591" t="s">
        <v>35</v>
      </c>
      <c r="B591" t="s">
        <v>26</v>
      </c>
      <c r="C591" t="s">
        <v>23</v>
      </c>
      <c r="D591" t="s">
        <v>19</v>
      </c>
      <c r="E591" s="17">
        <v>18184.439999999999</v>
      </c>
      <c r="F591" s="17">
        <v>5729.3899999999994</v>
      </c>
      <c r="G591" s="17">
        <v>5729.39</v>
      </c>
    </row>
    <row r="592" spans="1:7" x14ac:dyDescent="0.3">
      <c r="A592" t="s">
        <v>35</v>
      </c>
      <c r="B592" t="s">
        <v>26</v>
      </c>
      <c r="C592" t="s">
        <v>23</v>
      </c>
      <c r="D592" t="s">
        <v>20</v>
      </c>
      <c r="E592" s="17">
        <v>21167.15</v>
      </c>
      <c r="F592" s="17">
        <v>8417.6299999999992</v>
      </c>
      <c r="G592" s="17">
        <v>8417.6299999999992</v>
      </c>
    </row>
    <row r="593" spans="1:7" x14ac:dyDescent="0.3">
      <c r="A593" t="s">
        <v>35</v>
      </c>
      <c r="B593" t="s">
        <v>26</v>
      </c>
      <c r="C593" t="s">
        <v>23</v>
      </c>
      <c r="D593" t="s">
        <v>21</v>
      </c>
      <c r="E593" s="17">
        <v>3657.74</v>
      </c>
      <c r="F593" s="17">
        <v>1509.46</v>
      </c>
      <c r="G593" s="17">
        <v>1509.46</v>
      </c>
    </row>
    <row r="594" spans="1:7" x14ac:dyDescent="0.3">
      <c r="A594" t="s">
        <v>35</v>
      </c>
      <c r="B594" t="s">
        <v>26</v>
      </c>
      <c r="C594" t="s">
        <v>24</v>
      </c>
      <c r="D594" t="s">
        <v>18</v>
      </c>
      <c r="E594" s="17">
        <v>2972.95</v>
      </c>
      <c r="F594" s="17">
        <v>550.17000000000007</v>
      </c>
      <c r="G594" s="17">
        <v>550.16999999999996</v>
      </c>
    </row>
    <row r="595" spans="1:7" x14ac:dyDescent="0.3">
      <c r="A595" t="s">
        <v>35</v>
      </c>
      <c r="B595" t="s">
        <v>26</v>
      </c>
      <c r="C595" t="s">
        <v>24</v>
      </c>
      <c r="D595" t="s">
        <v>19</v>
      </c>
      <c r="E595" s="17">
        <v>23186.74</v>
      </c>
      <c r="F595" s="17">
        <v>9570.7800000000007</v>
      </c>
      <c r="G595" s="17">
        <v>9570.7800000000007</v>
      </c>
    </row>
    <row r="596" spans="1:7" x14ac:dyDescent="0.3">
      <c r="A596" t="s">
        <v>35</v>
      </c>
      <c r="B596" t="s">
        <v>26</v>
      </c>
      <c r="C596" t="s">
        <v>24</v>
      </c>
      <c r="D596" t="s">
        <v>20</v>
      </c>
      <c r="E596" s="17">
        <v>15242.46</v>
      </c>
      <c r="F596" s="17">
        <v>5103.4500000000007</v>
      </c>
      <c r="G596" s="17">
        <v>5103.45</v>
      </c>
    </row>
    <row r="597" spans="1:7" x14ac:dyDescent="0.3">
      <c r="A597" t="s">
        <v>35</v>
      </c>
      <c r="B597" t="s">
        <v>26</v>
      </c>
      <c r="C597" t="s">
        <v>24</v>
      </c>
      <c r="D597" t="s">
        <v>21</v>
      </c>
      <c r="E597" s="17">
        <v>18318.48</v>
      </c>
      <c r="F597" s="17">
        <v>5363.24</v>
      </c>
      <c r="G597" s="17">
        <v>5363.24</v>
      </c>
    </row>
    <row r="598" spans="1:7" x14ac:dyDescent="0.3">
      <c r="A598" t="s">
        <v>35</v>
      </c>
      <c r="B598" t="s">
        <v>26</v>
      </c>
      <c r="C598" t="s">
        <v>25</v>
      </c>
      <c r="D598" t="s">
        <v>18</v>
      </c>
      <c r="E598" s="17">
        <v>4648.99</v>
      </c>
      <c r="F598" s="17">
        <v>863</v>
      </c>
      <c r="G598" s="17">
        <v>863</v>
      </c>
    </row>
    <row r="599" spans="1:7" x14ac:dyDescent="0.3">
      <c r="A599" t="s">
        <v>35</v>
      </c>
      <c r="B599" t="s">
        <v>26</v>
      </c>
      <c r="C599" t="s">
        <v>25</v>
      </c>
      <c r="D599" t="s">
        <v>19</v>
      </c>
      <c r="E599" s="17">
        <v>9469.67</v>
      </c>
      <c r="F599" s="17">
        <v>3753.37</v>
      </c>
      <c r="G599" s="17">
        <v>3753.37</v>
      </c>
    </row>
    <row r="600" spans="1:7" x14ac:dyDescent="0.3">
      <c r="A600" t="s">
        <v>35</v>
      </c>
      <c r="B600" t="s">
        <v>26</v>
      </c>
      <c r="C600" t="s">
        <v>25</v>
      </c>
      <c r="D600" t="s">
        <v>20</v>
      </c>
      <c r="E600" s="17">
        <v>16216.88</v>
      </c>
      <c r="F600" s="17">
        <v>6562.1099999999988</v>
      </c>
      <c r="G600" s="17">
        <v>6562.11</v>
      </c>
    </row>
    <row r="601" spans="1:7" x14ac:dyDescent="0.3">
      <c r="A601" t="s">
        <v>35</v>
      </c>
      <c r="B601" t="s">
        <v>26</v>
      </c>
      <c r="C601" t="s">
        <v>25</v>
      </c>
      <c r="D601" t="s">
        <v>21</v>
      </c>
      <c r="E601" s="17">
        <v>23154.7</v>
      </c>
      <c r="F601" s="17">
        <v>4718.8100000000013</v>
      </c>
      <c r="G601" s="17">
        <v>4718.8100000000004</v>
      </c>
    </row>
    <row r="602" spans="1:7" x14ac:dyDescent="0.3">
      <c r="A602" t="s">
        <v>35</v>
      </c>
      <c r="B602" t="s">
        <v>27</v>
      </c>
      <c r="C602" t="s">
        <v>17</v>
      </c>
      <c r="D602" t="s">
        <v>18</v>
      </c>
      <c r="E602" s="17">
        <v>21423.14</v>
      </c>
      <c r="F602" s="17">
        <v>5263.57</v>
      </c>
      <c r="G602" s="17">
        <v>5263.57</v>
      </c>
    </row>
    <row r="603" spans="1:7" x14ac:dyDescent="0.3">
      <c r="A603" t="s">
        <v>35</v>
      </c>
      <c r="B603" t="s">
        <v>27</v>
      </c>
      <c r="C603" t="s">
        <v>17</v>
      </c>
      <c r="D603" t="s">
        <v>19</v>
      </c>
      <c r="E603" s="17">
        <v>15544.04</v>
      </c>
      <c r="F603" s="17">
        <v>4996.9399999999987</v>
      </c>
      <c r="G603" s="17">
        <v>4996.9399999999996</v>
      </c>
    </row>
    <row r="604" spans="1:7" x14ac:dyDescent="0.3">
      <c r="A604" t="s">
        <v>35</v>
      </c>
      <c r="B604" t="s">
        <v>27</v>
      </c>
      <c r="C604" t="s">
        <v>17</v>
      </c>
      <c r="D604" t="s">
        <v>20</v>
      </c>
      <c r="E604" s="17">
        <v>11102.63</v>
      </c>
      <c r="F604" s="17">
        <v>2928.59</v>
      </c>
      <c r="G604" s="17">
        <v>2928.59</v>
      </c>
    </row>
    <row r="605" spans="1:7" x14ac:dyDescent="0.3">
      <c r="A605" t="s">
        <v>35</v>
      </c>
      <c r="B605" t="s">
        <v>27</v>
      </c>
      <c r="C605" t="s">
        <v>17</v>
      </c>
      <c r="D605" t="s">
        <v>21</v>
      </c>
      <c r="E605" s="17">
        <v>9808.81</v>
      </c>
      <c r="F605" s="17">
        <v>2647.68</v>
      </c>
      <c r="G605" s="17">
        <v>2647.68</v>
      </c>
    </row>
    <row r="606" spans="1:7" x14ac:dyDescent="0.3">
      <c r="A606" t="s">
        <v>35</v>
      </c>
      <c r="B606" t="s">
        <v>27</v>
      </c>
      <c r="C606" t="s">
        <v>22</v>
      </c>
      <c r="D606" t="s">
        <v>18</v>
      </c>
      <c r="E606" s="17">
        <v>5867.05</v>
      </c>
      <c r="F606" s="17">
        <v>1864.73</v>
      </c>
      <c r="G606" s="17">
        <v>1864.73</v>
      </c>
    </row>
    <row r="607" spans="1:7" x14ac:dyDescent="0.3">
      <c r="A607" t="s">
        <v>35</v>
      </c>
      <c r="B607" t="s">
        <v>27</v>
      </c>
      <c r="C607" t="s">
        <v>22</v>
      </c>
      <c r="D607" t="s">
        <v>19</v>
      </c>
      <c r="E607" s="17">
        <v>4622.6099999999997</v>
      </c>
      <c r="F607" s="17">
        <v>1468.54</v>
      </c>
      <c r="G607" s="17">
        <v>1468.54</v>
      </c>
    </row>
    <row r="608" spans="1:7" x14ac:dyDescent="0.3">
      <c r="A608" t="s">
        <v>35</v>
      </c>
      <c r="B608" t="s">
        <v>27</v>
      </c>
      <c r="C608" t="s">
        <v>22</v>
      </c>
      <c r="D608" t="s">
        <v>20</v>
      </c>
      <c r="E608" s="17">
        <v>22836.22</v>
      </c>
      <c r="F608" s="17">
        <v>6264.6899999999987</v>
      </c>
      <c r="G608" s="17">
        <v>6264.69</v>
      </c>
    </row>
    <row r="609" spans="1:7" x14ac:dyDescent="0.3">
      <c r="A609" t="s">
        <v>35</v>
      </c>
      <c r="B609" t="s">
        <v>27</v>
      </c>
      <c r="C609" t="s">
        <v>22</v>
      </c>
      <c r="D609" t="s">
        <v>21</v>
      </c>
      <c r="E609" s="17">
        <v>18729.72</v>
      </c>
      <c r="F609" s="17">
        <v>7512.7900000000009</v>
      </c>
      <c r="G609" s="17">
        <v>7512.79</v>
      </c>
    </row>
    <row r="610" spans="1:7" x14ac:dyDescent="0.3">
      <c r="A610" t="s">
        <v>35</v>
      </c>
      <c r="B610" t="s">
        <v>27</v>
      </c>
      <c r="C610" t="s">
        <v>23</v>
      </c>
      <c r="D610" t="s">
        <v>18</v>
      </c>
      <c r="E610" s="17">
        <v>20745.849999999999</v>
      </c>
      <c r="F610" s="17">
        <v>5057.68</v>
      </c>
      <c r="G610" s="17">
        <v>5057.68</v>
      </c>
    </row>
    <row r="611" spans="1:7" x14ac:dyDescent="0.3">
      <c r="A611" t="s">
        <v>35</v>
      </c>
      <c r="B611" t="s">
        <v>27</v>
      </c>
      <c r="C611" t="s">
        <v>23</v>
      </c>
      <c r="D611" t="s">
        <v>19</v>
      </c>
      <c r="E611" s="17">
        <v>5368.22</v>
      </c>
      <c r="F611" s="17">
        <v>1252.21</v>
      </c>
      <c r="G611" s="17">
        <v>1252.21</v>
      </c>
    </row>
    <row r="612" spans="1:7" x14ac:dyDescent="0.3">
      <c r="A612" t="s">
        <v>35</v>
      </c>
      <c r="B612" t="s">
        <v>27</v>
      </c>
      <c r="C612" t="s">
        <v>23</v>
      </c>
      <c r="D612" t="s">
        <v>20</v>
      </c>
      <c r="E612" s="17">
        <v>15855.18</v>
      </c>
      <c r="F612" s="17">
        <v>6108.34</v>
      </c>
      <c r="G612" s="17">
        <v>6108.34</v>
      </c>
    </row>
    <row r="613" spans="1:7" x14ac:dyDescent="0.3">
      <c r="A613" t="s">
        <v>35</v>
      </c>
      <c r="B613" t="s">
        <v>27</v>
      </c>
      <c r="C613" t="s">
        <v>23</v>
      </c>
      <c r="D613" t="s">
        <v>21</v>
      </c>
      <c r="E613" s="17">
        <v>17076.71</v>
      </c>
      <c r="F613" s="17">
        <v>3890.58</v>
      </c>
      <c r="G613" s="17">
        <v>3890.58</v>
      </c>
    </row>
    <row r="614" spans="1:7" x14ac:dyDescent="0.3">
      <c r="A614" t="s">
        <v>35</v>
      </c>
      <c r="B614" t="s">
        <v>27</v>
      </c>
      <c r="C614" t="s">
        <v>24</v>
      </c>
      <c r="D614" t="s">
        <v>18</v>
      </c>
      <c r="E614" s="17">
        <v>19775.509999999998</v>
      </c>
      <c r="F614" s="17">
        <v>6197.869999999999</v>
      </c>
      <c r="G614" s="17">
        <v>6197.87</v>
      </c>
    </row>
    <row r="615" spans="1:7" x14ac:dyDescent="0.3">
      <c r="A615" t="s">
        <v>35</v>
      </c>
      <c r="B615" t="s">
        <v>27</v>
      </c>
      <c r="C615" t="s">
        <v>24</v>
      </c>
      <c r="D615" t="s">
        <v>19</v>
      </c>
      <c r="E615" s="17">
        <v>19352.25</v>
      </c>
      <c r="F615" s="17">
        <v>7453.84</v>
      </c>
      <c r="G615" s="17">
        <v>7453.84</v>
      </c>
    </row>
    <row r="616" spans="1:7" x14ac:dyDescent="0.3">
      <c r="A616" t="s">
        <v>35</v>
      </c>
      <c r="B616" t="s">
        <v>27</v>
      </c>
      <c r="C616" t="s">
        <v>24</v>
      </c>
      <c r="D616" t="s">
        <v>20</v>
      </c>
      <c r="E616" s="17">
        <v>12324.82</v>
      </c>
      <c r="F616" s="17">
        <v>5293.78</v>
      </c>
      <c r="G616" s="17">
        <v>5293.78</v>
      </c>
    </row>
    <row r="617" spans="1:7" x14ac:dyDescent="0.3">
      <c r="A617" t="s">
        <v>35</v>
      </c>
      <c r="B617" t="s">
        <v>27</v>
      </c>
      <c r="C617" t="s">
        <v>24</v>
      </c>
      <c r="D617" t="s">
        <v>21</v>
      </c>
      <c r="E617" s="17">
        <v>14983.31</v>
      </c>
      <c r="F617" s="17">
        <v>5267.09</v>
      </c>
      <c r="G617" s="17">
        <v>5267.09</v>
      </c>
    </row>
    <row r="618" spans="1:7" x14ac:dyDescent="0.3">
      <c r="A618" t="s">
        <v>35</v>
      </c>
      <c r="B618" t="s">
        <v>27</v>
      </c>
      <c r="C618" t="s">
        <v>25</v>
      </c>
      <c r="D618" t="s">
        <v>18</v>
      </c>
      <c r="E618" s="17">
        <v>16364</v>
      </c>
      <c r="F618" s="17">
        <v>6764</v>
      </c>
      <c r="G618" s="17">
        <v>6764</v>
      </c>
    </row>
    <row r="619" spans="1:7" x14ac:dyDescent="0.3">
      <c r="A619" t="s">
        <v>35</v>
      </c>
      <c r="B619" t="s">
        <v>27</v>
      </c>
      <c r="C619" t="s">
        <v>25</v>
      </c>
      <c r="D619" t="s">
        <v>19</v>
      </c>
      <c r="E619" s="17">
        <v>16426</v>
      </c>
      <c r="F619" s="17">
        <v>3626.18</v>
      </c>
      <c r="G619" s="17">
        <v>3626.18</v>
      </c>
    </row>
    <row r="620" spans="1:7" x14ac:dyDescent="0.3">
      <c r="A620" t="s">
        <v>35</v>
      </c>
      <c r="B620" t="s">
        <v>27</v>
      </c>
      <c r="C620" t="s">
        <v>25</v>
      </c>
      <c r="D620" t="s">
        <v>20</v>
      </c>
      <c r="E620" s="17">
        <v>3570.58</v>
      </c>
      <c r="F620" s="17">
        <v>1069.02</v>
      </c>
      <c r="G620" s="17">
        <v>1069.02</v>
      </c>
    </row>
    <row r="621" spans="1:7" x14ac:dyDescent="0.3">
      <c r="A621" t="s">
        <v>35</v>
      </c>
      <c r="B621" t="s">
        <v>27</v>
      </c>
      <c r="C621" t="s">
        <v>25</v>
      </c>
      <c r="D621" t="s">
        <v>21</v>
      </c>
      <c r="E621" s="17">
        <v>8964.8700000000008</v>
      </c>
      <c r="F621" s="17">
        <v>2278.5300000000011</v>
      </c>
      <c r="G621" s="17">
        <v>2278.5300000000002</v>
      </c>
    </row>
    <row r="622" spans="1:7" x14ac:dyDescent="0.3">
      <c r="A622" t="s">
        <v>35</v>
      </c>
      <c r="B622" t="s">
        <v>28</v>
      </c>
      <c r="C622" t="s">
        <v>17</v>
      </c>
      <c r="D622" t="s">
        <v>18</v>
      </c>
      <c r="E622" s="17">
        <v>3291.96</v>
      </c>
      <c r="F622" s="17">
        <v>1043.49</v>
      </c>
      <c r="G622" s="17">
        <v>1043.49</v>
      </c>
    </row>
    <row r="623" spans="1:7" x14ac:dyDescent="0.3">
      <c r="A623" t="s">
        <v>35</v>
      </c>
      <c r="B623" t="s">
        <v>28</v>
      </c>
      <c r="C623" t="s">
        <v>17</v>
      </c>
      <c r="D623" t="s">
        <v>19</v>
      </c>
      <c r="E623" s="17">
        <v>9139.3799999999992</v>
      </c>
      <c r="F623" s="17">
        <v>2760.25</v>
      </c>
      <c r="G623" s="17">
        <v>2760.25</v>
      </c>
    </row>
    <row r="624" spans="1:7" x14ac:dyDescent="0.3">
      <c r="A624" t="s">
        <v>35</v>
      </c>
      <c r="B624" t="s">
        <v>28</v>
      </c>
      <c r="C624" t="s">
        <v>17</v>
      </c>
      <c r="D624" t="s">
        <v>20</v>
      </c>
      <c r="E624" s="17">
        <v>3308.47</v>
      </c>
      <c r="F624" s="17">
        <v>1338.47</v>
      </c>
      <c r="G624" s="17">
        <v>1338.47</v>
      </c>
    </row>
    <row r="625" spans="1:7" x14ac:dyDescent="0.3">
      <c r="A625" t="s">
        <v>35</v>
      </c>
      <c r="B625" t="s">
        <v>28</v>
      </c>
      <c r="C625" t="s">
        <v>17</v>
      </c>
      <c r="D625" t="s">
        <v>21</v>
      </c>
      <c r="E625" s="17">
        <v>3764.81</v>
      </c>
      <c r="F625" s="17">
        <v>1556.17</v>
      </c>
      <c r="G625" s="17">
        <v>1556.17</v>
      </c>
    </row>
    <row r="626" spans="1:7" x14ac:dyDescent="0.3">
      <c r="A626" t="s">
        <v>35</v>
      </c>
      <c r="B626" t="s">
        <v>28</v>
      </c>
      <c r="C626" t="s">
        <v>22</v>
      </c>
      <c r="D626" t="s">
        <v>18</v>
      </c>
      <c r="E626" s="17">
        <v>21671.75</v>
      </c>
      <c r="F626" s="17">
        <v>7499.5600000000013</v>
      </c>
      <c r="G626" s="17">
        <v>7499.56</v>
      </c>
    </row>
    <row r="627" spans="1:7" x14ac:dyDescent="0.3">
      <c r="A627" t="s">
        <v>35</v>
      </c>
      <c r="B627" t="s">
        <v>28</v>
      </c>
      <c r="C627" t="s">
        <v>22</v>
      </c>
      <c r="D627" t="s">
        <v>19</v>
      </c>
      <c r="E627" s="17">
        <v>13662.56</v>
      </c>
      <c r="F627" s="17">
        <v>4166.1499999999996</v>
      </c>
      <c r="G627" s="17">
        <v>4166.1499999999996</v>
      </c>
    </row>
    <row r="628" spans="1:7" x14ac:dyDescent="0.3">
      <c r="A628" t="s">
        <v>35</v>
      </c>
      <c r="B628" t="s">
        <v>28</v>
      </c>
      <c r="C628" t="s">
        <v>22</v>
      </c>
      <c r="D628" t="s">
        <v>20</v>
      </c>
      <c r="E628" s="17">
        <v>14749.28</v>
      </c>
      <c r="F628" s="17">
        <v>5808.1299999999992</v>
      </c>
      <c r="G628" s="17">
        <v>5808.13</v>
      </c>
    </row>
    <row r="629" spans="1:7" x14ac:dyDescent="0.3">
      <c r="A629" t="s">
        <v>35</v>
      </c>
      <c r="B629" t="s">
        <v>28</v>
      </c>
      <c r="C629" t="s">
        <v>22</v>
      </c>
      <c r="D629" t="s">
        <v>21</v>
      </c>
      <c r="E629" s="17">
        <v>22605.17</v>
      </c>
      <c r="F629" s="17">
        <v>6813.83</v>
      </c>
      <c r="G629" s="17">
        <v>6813.83</v>
      </c>
    </row>
    <row r="630" spans="1:7" x14ac:dyDescent="0.3">
      <c r="A630" t="s">
        <v>35</v>
      </c>
      <c r="B630" t="s">
        <v>28</v>
      </c>
      <c r="C630" t="s">
        <v>23</v>
      </c>
      <c r="D630" t="s">
        <v>18</v>
      </c>
      <c r="E630" s="17">
        <v>20625.77</v>
      </c>
      <c r="F630" s="17">
        <v>7342.6899999999987</v>
      </c>
      <c r="G630" s="17">
        <v>7342.69</v>
      </c>
    </row>
    <row r="631" spans="1:7" x14ac:dyDescent="0.3">
      <c r="A631" t="s">
        <v>35</v>
      </c>
      <c r="B631" t="s">
        <v>28</v>
      </c>
      <c r="C631" t="s">
        <v>23</v>
      </c>
      <c r="D631" t="s">
        <v>19</v>
      </c>
      <c r="E631" s="17">
        <v>9395.1200000000008</v>
      </c>
      <c r="F631" s="17">
        <v>2897.639999999999</v>
      </c>
      <c r="G631" s="17">
        <v>2897.64</v>
      </c>
    </row>
    <row r="632" spans="1:7" x14ac:dyDescent="0.3">
      <c r="A632" t="s">
        <v>35</v>
      </c>
      <c r="B632" t="s">
        <v>28</v>
      </c>
      <c r="C632" t="s">
        <v>23</v>
      </c>
      <c r="D632" t="s">
        <v>20</v>
      </c>
      <c r="E632" s="17">
        <v>5469.8</v>
      </c>
      <c r="F632" s="17">
        <v>1075.94</v>
      </c>
      <c r="G632" s="17">
        <v>1075.94</v>
      </c>
    </row>
    <row r="633" spans="1:7" x14ac:dyDescent="0.3">
      <c r="A633" t="s">
        <v>35</v>
      </c>
      <c r="B633" t="s">
        <v>28</v>
      </c>
      <c r="C633" t="s">
        <v>23</v>
      </c>
      <c r="D633" t="s">
        <v>21</v>
      </c>
      <c r="E633" s="17">
        <v>4380.54</v>
      </c>
      <c r="F633" s="17">
        <v>1851.94</v>
      </c>
      <c r="G633" s="17">
        <v>1851.94</v>
      </c>
    </row>
    <row r="634" spans="1:7" x14ac:dyDescent="0.3">
      <c r="A634" t="s">
        <v>35</v>
      </c>
      <c r="B634" t="s">
        <v>28</v>
      </c>
      <c r="C634" t="s">
        <v>24</v>
      </c>
      <c r="D634" t="s">
        <v>18</v>
      </c>
      <c r="E634" s="17">
        <v>9899.07</v>
      </c>
      <c r="F634" s="17">
        <v>3691.02</v>
      </c>
      <c r="G634" s="17">
        <v>3691.02</v>
      </c>
    </row>
    <row r="635" spans="1:7" x14ac:dyDescent="0.3">
      <c r="A635" t="s">
        <v>35</v>
      </c>
      <c r="B635" t="s">
        <v>28</v>
      </c>
      <c r="C635" t="s">
        <v>24</v>
      </c>
      <c r="D635" t="s">
        <v>19</v>
      </c>
      <c r="E635" s="17">
        <v>13604.63</v>
      </c>
      <c r="F635" s="17">
        <v>3082.690000000001</v>
      </c>
      <c r="G635" s="17">
        <v>3082.69</v>
      </c>
    </row>
    <row r="636" spans="1:7" x14ac:dyDescent="0.3">
      <c r="A636" t="s">
        <v>35</v>
      </c>
      <c r="B636" t="s">
        <v>28</v>
      </c>
      <c r="C636" t="s">
        <v>24</v>
      </c>
      <c r="D636" t="s">
        <v>20</v>
      </c>
      <c r="E636" s="17">
        <v>7698.11</v>
      </c>
      <c r="F636" s="17">
        <v>2295.54</v>
      </c>
      <c r="G636" s="17">
        <v>2295.54</v>
      </c>
    </row>
    <row r="637" spans="1:7" x14ac:dyDescent="0.3">
      <c r="A637" t="s">
        <v>35</v>
      </c>
      <c r="B637" t="s">
        <v>28</v>
      </c>
      <c r="C637" t="s">
        <v>24</v>
      </c>
      <c r="D637" t="s">
        <v>21</v>
      </c>
      <c r="E637" s="17">
        <v>12106.7</v>
      </c>
      <c r="F637" s="17">
        <v>3887.9699999999989</v>
      </c>
      <c r="G637" s="17">
        <v>3887.97</v>
      </c>
    </row>
    <row r="638" spans="1:7" x14ac:dyDescent="0.3">
      <c r="A638" t="s">
        <v>35</v>
      </c>
      <c r="B638" t="s">
        <v>28</v>
      </c>
      <c r="C638" t="s">
        <v>25</v>
      </c>
      <c r="D638" t="s">
        <v>18</v>
      </c>
      <c r="E638" s="17">
        <v>5651.16</v>
      </c>
      <c r="F638" s="17">
        <v>1586.11</v>
      </c>
      <c r="G638" s="17">
        <v>1586.11</v>
      </c>
    </row>
    <row r="639" spans="1:7" x14ac:dyDescent="0.3">
      <c r="A639" t="s">
        <v>35</v>
      </c>
      <c r="B639" t="s">
        <v>28</v>
      </c>
      <c r="C639" t="s">
        <v>25</v>
      </c>
      <c r="D639" t="s">
        <v>19</v>
      </c>
      <c r="E639" s="17">
        <v>8506.5499999999993</v>
      </c>
      <c r="F639" s="17">
        <v>2470.0300000000011</v>
      </c>
      <c r="G639" s="17">
        <v>2470.0300000000002</v>
      </c>
    </row>
    <row r="640" spans="1:7" x14ac:dyDescent="0.3">
      <c r="A640" t="s">
        <v>35</v>
      </c>
      <c r="B640" t="s">
        <v>28</v>
      </c>
      <c r="C640" t="s">
        <v>25</v>
      </c>
      <c r="D640" t="s">
        <v>20</v>
      </c>
      <c r="E640" s="17">
        <v>9782.44</v>
      </c>
      <c r="F640" s="17">
        <v>3340.01</v>
      </c>
      <c r="G640" s="17">
        <v>3340.01</v>
      </c>
    </row>
    <row r="641" spans="1:7" x14ac:dyDescent="0.3">
      <c r="A641" t="s">
        <v>35</v>
      </c>
      <c r="B641" t="s">
        <v>28</v>
      </c>
      <c r="C641" t="s">
        <v>25</v>
      </c>
      <c r="D641" t="s">
        <v>21</v>
      </c>
      <c r="E641" s="17">
        <v>20152.22</v>
      </c>
      <c r="F641" s="17">
        <v>7149.4500000000007</v>
      </c>
      <c r="G641" s="17">
        <v>7149.45</v>
      </c>
    </row>
    <row r="642" spans="1:7" x14ac:dyDescent="0.3">
      <c r="A642" t="s">
        <v>36</v>
      </c>
      <c r="B642" t="s">
        <v>16</v>
      </c>
      <c r="C642" t="s">
        <v>17</v>
      </c>
      <c r="D642" t="s">
        <v>18</v>
      </c>
      <c r="E642" s="17">
        <v>3515.97</v>
      </c>
      <c r="F642" s="17">
        <v>722.59000000000015</v>
      </c>
      <c r="G642" s="17">
        <v>722.59</v>
      </c>
    </row>
    <row r="643" spans="1:7" x14ac:dyDescent="0.3">
      <c r="A643" t="s">
        <v>36</v>
      </c>
      <c r="B643" t="s">
        <v>16</v>
      </c>
      <c r="C643" t="s">
        <v>17</v>
      </c>
      <c r="D643" t="s">
        <v>19</v>
      </c>
      <c r="E643" s="17">
        <v>17602.72</v>
      </c>
      <c r="F643" s="17">
        <v>4518.9599999999991</v>
      </c>
      <c r="G643" s="17">
        <v>4518.96</v>
      </c>
    </row>
    <row r="644" spans="1:7" x14ac:dyDescent="0.3">
      <c r="A644" t="s">
        <v>36</v>
      </c>
      <c r="B644" t="s">
        <v>16</v>
      </c>
      <c r="C644" t="s">
        <v>17</v>
      </c>
      <c r="D644" t="s">
        <v>20</v>
      </c>
      <c r="E644" s="17">
        <v>18645.87</v>
      </c>
      <c r="F644" s="17">
        <v>6661.65</v>
      </c>
      <c r="G644" s="17">
        <v>6661.65</v>
      </c>
    </row>
    <row r="645" spans="1:7" x14ac:dyDescent="0.3">
      <c r="A645" t="s">
        <v>36</v>
      </c>
      <c r="B645" t="s">
        <v>16</v>
      </c>
      <c r="C645" t="s">
        <v>17</v>
      </c>
      <c r="D645" t="s">
        <v>21</v>
      </c>
      <c r="E645" s="17">
        <v>22845.88</v>
      </c>
      <c r="F645" s="17">
        <v>9498.99</v>
      </c>
      <c r="G645" s="17">
        <v>9498.99</v>
      </c>
    </row>
    <row r="646" spans="1:7" x14ac:dyDescent="0.3">
      <c r="A646" t="s">
        <v>36</v>
      </c>
      <c r="B646" t="s">
        <v>16</v>
      </c>
      <c r="C646" t="s">
        <v>22</v>
      </c>
      <c r="D646" t="s">
        <v>18</v>
      </c>
      <c r="E646" s="17">
        <v>9667.33</v>
      </c>
      <c r="F646" s="17">
        <v>3261.17</v>
      </c>
      <c r="G646" s="17">
        <v>3261.17</v>
      </c>
    </row>
    <row r="647" spans="1:7" x14ac:dyDescent="0.3">
      <c r="A647" t="s">
        <v>36</v>
      </c>
      <c r="B647" t="s">
        <v>16</v>
      </c>
      <c r="C647" t="s">
        <v>22</v>
      </c>
      <c r="D647" t="s">
        <v>19</v>
      </c>
      <c r="E647" s="17">
        <v>5252.85</v>
      </c>
      <c r="F647" s="17">
        <v>1441.65</v>
      </c>
      <c r="G647" s="17">
        <v>1441.65</v>
      </c>
    </row>
    <row r="648" spans="1:7" x14ac:dyDescent="0.3">
      <c r="A648" t="s">
        <v>36</v>
      </c>
      <c r="B648" t="s">
        <v>16</v>
      </c>
      <c r="C648" t="s">
        <v>22</v>
      </c>
      <c r="D648" t="s">
        <v>20</v>
      </c>
      <c r="E648" s="17">
        <v>24257.02</v>
      </c>
      <c r="F648" s="17">
        <v>8940.89</v>
      </c>
      <c r="G648" s="17">
        <v>8940.89</v>
      </c>
    </row>
    <row r="649" spans="1:7" x14ac:dyDescent="0.3">
      <c r="A649" t="s">
        <v>36</v>
      </c>
      <c r="B649" t="s">
        <v>16</v>
      </c>
      <c r="C649" t="s">
        <v>22</v>
      </c>
      <c r="D649" t="s">
        <v>21</v>
      </c>
      <c r="E649" s="17">
        <v>11015.03</v>
      </c>
      <c r="F649" s="17">
        <v>3752.389999999999</v>
      </c>
      <c r="G649" s="17">
        <v>3752.39</v>
      </c>
    </row>
    <row r="650" spans="1:7" x14ac:dyDescent="0.3">
      <c r="A650" t="s">
        <v>36</v>
      </c>
      <c r="B650" t="s">
        <v>16</v>
      </c>
      <c r="C650" t="s">
        <v>23</v>
      </c>
      <c r="D650" t="s">
        <v>18</v>
      </c>
      <c r="E650" s="17">
        <v>23574.05</v>
      </c>
      <c r="F650" s="17">
        <v>6213.82</v>
      </c>
      <c r="G650" s="17">
        <v>6213.82</v>
      </c>
    </row>
    <row r="651" spans="1:7" x14ac:dyDescent="0.3">
      <c r="A651" t="s">
        <v>36</v>
      </c>
      <c r="B651" t="s">
        <v>16</v>
      </c>
      <c r="C651" t="s">
        <v>23</v>
      </c>
      <c r="D651" t="s">
        <v>19</v>
      </c>
      <c r="E651" s="17">
        <v>10663.62</v>
      </c>
      <c r="F651" s="17">
        <v>4198.79</v>
      </c>
      <c r="G651" s="17">
        <v>4198.79</v>
      </c>
    </row>
    <row r="652" spans="1:7" x14ac:dyDescent="0.3">
      <c r="A652" t="s">
        <v>36</v>
      </c>
      <c r="B652" t="s">
        <v>16</v>
      </c>
      <c r="C652" t="s">
        <v>23</v>
      </c>
      <c r="D652" t="s">
        <v>20</v>
      </c>
      <c r="E652" s="17">
        <v>20703.25</v>
      </c>
      <c r="F652" s="17">
        <v>7472.4500000000007</v>
      </c>
      <c r="G652" s="17">
        <v>7472.45</v>
      </c>
    </row>
    <row r="653" spans="1:7" x14ac:dyDescent="0.3">
      <c r="A653" t="s">
        <v>36</v>
      </c>
      <c r="B653" t="s">
        <v>16</v>
      </c>
      <c r="C653" t="s">
        <v>23</v>
      </c>
      <c r="D653" t="s">
        <v>21</v>
      </c>
      <c r="E653" s="17">
        <v>21066.06</v>
      </c>
      <c r="F653" s="17">
        <v>7993.92</v>
      </c>
      <c r="G653" s="17">
        <v>7993.92</v>
      </c>
    </row>
    <row r="654" spans="1:7" x14ac:dyDescent="0.3">
      <c r="A654" t="s">
        <v>36</v>
      </c>
      <c r="B654" t="s">
        <v>16</v>
      </c>
      <c r="C654" t="s">
        <v>24</v>
      </c>
      <c r="D654" t="s">
        <v>18</v>
      </c>
      <c r="E654" s="17">
        <v>17764.53</v>
      </c>
      <c r="F654" s="17">
        <v>5722.42</v>
      </c>
      <c r="G654" s="17">
        <v>5722.42</v>
      </c>
    </row>
    <row r="655" spans="1:7" x14ac:dyDescent="0.3">
      <c r="A655" t="s">
        <v>36</v>
      </c>
      <c r="B655" t="s">
        <v>16</v>
      </c>
      <c r="C655" t="s">
        <v>24</v>
      </c>
      <c r="D655" t="s">
        <v>19</v>
      </c>
      <c r="E655" s="17">
        <v>16858.57</v>
      </c>
      <c r="F655" s="17">
        <v>4961.8100000000013</v>
      </c>
      <c r="G655" s="17">
        <v>4961.8100000000004</v>
      </c>
    </row>
    <row r="656" spans="1:7" x14ac:dyDescent="0.3">
      <c r="A656" t="s">
        <v>36</v>
      </c>
      <c r="B656" t="s">
        <v>16</v>
      </c>
      <c r="C656" t="s">
        <v>24</v>
      </c>
      <c r="D656" t="s">
        <v>20</v>
      </c>
      <c r="E656" s="17">
        <v>10322.049999999999</v>
      </c>
      <c r="F656" s="17">
        <v>2868.51</v>
      </c>
      <c r="G656" s="17">
        <v>2868.51</v>
      </c>
    </row>
    <row r="657" spans="1:7" x14ac:dyDescent="0.3">
      <c r="A657" t="s">
        <v>36</v>
      </c>
      <c r="B657" t="s">
        <v>16</v>
      </c>
      <c r="C657" t="s">
        <v>24</v>
      </c>
      <c r="D657" t="s">
        <v>21</v>
      </c>
      <c r="E657" s="17">
        <v>6146.05</v>
      </c>
      <c r="F657" s="17">
        <v>1461.73</v>
      </c>
      <c r="G657" s="17">
        <v>1461.73</v>
      </c>
    </row>
    <row r="658" spans="1:7" x14ac:dyDescent="0.3">
      <c r="A658" t="s">
        <v>36</v>
      </c>
      <c r="B658" t="s">
        <v>16</v>
      </c>
      <c r="C658" t="s">
        <v>25</v>
      </c>
      <c r="D658" t="s">
        <v>18</v>
      </c>
      <c r="E658" s="17">
        <v>23796.37</v>
      </c>
      <c r="F658" s="17">
        <v>7407.6499999999978</v>
      </c>
      <c r="G658" s="17">
        <v>7407.65</v>
      </c>
    </row>
    <row r="659" spans="1:7" x14ac:dyDescent="0.3">
      <c r="A659" t="s">
        <v>36</v>
      </c>
      <c r="B659" t="s">
        <v>16</v>
      </c>
      <c r="C659" t="s">
        <v>25</v>
      </c>
      <c r="D659" t="s">
        <v>19</v>
      </c>
      <c r="E659" s="17">
        <v>7210.49</v>
      </c>
      <c r="F659" s="17">
        <v>1565.7</v>
      </c>
      <c r="G659" s="17">
        <v>1565.7</v>
      </c>
    </row>
    <row r="660" spans="1:7" x14ac:dyDescent="0.3">
      <c r="A660" t="s">
        <v>36</v>
      </c>
      <c r="B660" t="s">
        <v>16</v>
      </c>
      <c r="C660" t="s">
        <v>25</v>
      </c>
      <c r="D660" t="s">
        <v>20</v>
      </c>
      <c r="E660" s="17">
        <v>3774.8</v>
      </c>
      <c r="F660" s="17">
        <v>1540.1</v>
      </c>
      <c r="G660" s="17">
        <v>1540.1</v>
      </c>
    </row>
    <row r="661" spans="1:7" x14ac:dyDescent="0.3">
      <c r="A661" t="s">
        <v>36</v>
      </c>
      <c r="B661" t="s">
        <v>16</v>
      </c>
      <c r="C661" t="s">
        <v>25</v>
      </c>
      <c r="D661" t="s">
        <v>21</v>
      </c>
      <c r="E661" s="17">
        <v>4326.24</v>
      </c>
      <c r="F661" s="17">
        <v>1679.17</v>
      </c>
      <c r="G661" s="17">
        <v>1679.17</v>
      </c>
    </row>
    <row r="662" spans="1:7" x14ac:dyDescent="0.3">
      <c r="A662" t="s">
        <v>36</v>
      </c>
      <c r="B662" t="s">
        <v>26</v>
      </c>
      <c r="C662" t="s">
        <v>17</v>
      </c>
      <c r="D662" t="s">
        <v>18</v>
      </c>
      <c r="E662" s="17">
        <v>21207.759999999998</v>
      </c>
      <c r="F662" s="17">
        <v>8877.4500000000007</v>
      </c>
      <c r="G662" s="17">
        <v>8877.4500000000007</v>
      </c>
    </row>
    <row r="663" spans="1:7" x14ac:dyDescent="0.3">
      <c r="A663" t="s">
        <v>36</v>
      </c>
      <c r="B663" t="s">
        <v>26</v>
      </c>
      <c r="C663" t="s">
        <v>17</v>
      </c>
      <c r="D663" t="s">
        <v>19</v>
      </c>
      <c r="E663" s="17">
        <v>2868.19</v>
      </c>
      <c r="F663" s="17">
        <v>777.07000000000016</v>
      </c>
      <c r="G663" s="17">
        <v>777.07</v>
      </c>
    </row>
    <row r="664" spans="1:7" x14ac:dyDescent="0.3">
      <c r="A664" t="s">
        <v>36</v>
      </c>
      <c r="B664" t="s">
        <v>26</v>
      </c>
      <c r="C664" t="s">
        <v>17</v>
      </c>
      <c r="D664" t="s">
        <v>20</v>
      </c>
      <c r="E664" s="17">
        <v>19625.07</v>
      </c>
      <c r="F664" s="17">
        <v>4226.91</v>
      </c>
      <c r="G664" s="17">
        <v>4226.91</v>
      </c>
    </row>
    <row r="665" spans="1:7" x14ac:dyDescent="0.3">
      <c r="A665" t="s">
        <v>36</v>
      </c>
      <c r="B665" t="s">
        <v>26</v>
      </c>
      <c r="C665" t="s">
        <v>17</v>
      </c>
      <c r="D665" t="s">
        <v>21</v>
      </c>
      <c r="E665" s="17">
        <v>10664.56</v>
      </c>
      <c r="F665" s="17">
        <v>2386.8000000000011</v>
      </c>
      <c r="G665" s="17">
        <v>2386.8000000000002</v>
      </c>
    </row>
    <row r="666" spans="1:7" x14ac:dyDescent="0.3">
      <c r="A666" t="s">
        <v>36</v>
      </c>
      <c r="B666" t="s">
        <v>26</v>
      </c>
      <c r="C666" t="s">
        <v>22</v>
      </c>
      <c r="D666" t="s">
        <v>18</v>
      </c>
      <c r="E666" s="17">
        <v>21120.94</v>
      </c>
      <c r="F666" s="17">
        <v>8199.07</v>
      </c>
      <c r="G666" s="17">
        <v>8199.07</v>
      </c>
    </row>
    <row r="667" spans="1:7" x14ac:dyDescent="0.3">
      <c r="A667" t="s">
        <v>36</v>
      </c>
      <c r="B667" t="s">
        <v>26</v>
      </c>
      <c r="C667" t="s">
        <v>22</v>
      </c>
      <c r="D667" t="s">
        <v>19</v>
      </c>
      <c r="E667" s="17">
        <v>20608.009999999998</v>
      </c>
      <c r="F667" s="17">
        <v>4630.5299999999988</v>
      </c>
      <c r="G667" s="17">
        <v>4630.53</v>
      </c>
    </row>
    <row r="668" spans="1:7" x14ac:dyDescent="0.3">
      <c r="A668" t="s">
        <v>36</v>
      </c>
      <c r="B668" t="s">
        <v>26</v>
      </c>
      <c r="C668" t="s">
        <v>22</v>
      </c>
      <c r="D668" t="s">
        <v>20</v>
      </c>
      <c r="E668" s="17">
        <v>12066.49</v>
      </c>
      <c r="F668" s="17">
        <v>3510.5300000000011</v>
      </c>
      <c r="G668" s="17">
        <v>3510.53</v>
      </c>
    </row>
    <row r="669" spans="1:7" x14ac:dyDescent="0.3">
      <c r="A669" t="s">
        <v>36</v>
      </c>
      <c r="B669" t="s">
        <v>26</v>
      </c>
      <c r="C669" t="s">
        <v>22</v>
      </c>
      <c r="D669" t="s">
        <v>21</v>
      </c>
      <c r="E669" s="17">
        <v>17556.349999999999</v>
      </c>
      <c r="F669" s="17">
        <v>4286.09</v>
      </c>
      <c r="G669" s="17">
        <v>4286.09</v>
      </c>
    </row>
    <row r="670" spans="1:7" x14ac:dyDescent="0.3">
      <c r="A670" t="s">
        <v>36</v>
      </c>
      <c r="B670" t="s">
        <v>26</v>
      </c>
      <c r="C670" t="s">
        <v>23</v>
      </c>
      <c r="D670" t="s">
        <v>18</v>
      </c>
      <c r="E670" s="17">
        <v>12216.57</v>
      </c>
      <c r="F670" s="17">
        <v>3138.809999999999</v>
      </c>
      <c r="G670" s="17">
        <v>3138.81</v>
      </c>
    </row>
    <row r="671" spans="1:7" x14ac:dyDescent="0.3">
      <c r="A671" t="s">
        <v>36</v>
      </c>
      <c r="B671" t="s">
        <v>26</v>
      </c>
      <c r="C671" t="s">
        <v>23</v>
      </c>
      <c r="D671" t="s">
        <v>19</v>
      </c>
      <c r="E671" s="17">
        <v>19216.34</v>
      </c>
      <c r="F671" s="17">
        <v>5788.16</v>
      </c>
      <c r="G671" s="17">
        <v>5788.16</v>
      </c>
    </row>
    <row r="672" spans="1:7" x14ac:dyDescent="0.3">
      <c r="A672" t="s">
        <v>36</v>
      </c>
      <c r="B672" t="s">
        <v>26</v>
      </c>
      <c r="C672" t="s">
        <v>23</v>
      </c>
      <c r="D672" t="s">
        <v>20</v>
      </c>
      <c r="E672" s="17">
        <v>14282.26</v>
      </c>
      <c r="F672" s="17">
        <v>3764.18</v>
      </c>
      <c r="G672" s="17">
        <v>3764.18</v>
      </c>
    </row>
    <row r="673" spans="1:7" x14ac:dyDescent="0.3">
      <c r="A673" t="s">
        <v>36</v>
      </c>
      <c r="B673" t="s">
        <v>26</v>
      </c>
      <c r="C673" t="s">
        <v>23</v>
      </c>
      <c r="D673" t="s">
        <v>21</v>
      </c>
      <c r="E673" s="17">
        <v>20598.349999999999</v>
      </c>
      <c r="F673" s="17">
        <v>6316.16</v>
      </c>
      <c r="G673" s="17">
        <v>6316.16</v>
      </c>
    </row>
    <row r="674" spans="1:7" x14ac:dyDescent="0.3">
      <c r="A674" t="s">
        <v>36</v>
      </c>
      <c r="B674" t="s">
        <v>26</v>
      </c>
      <c r="C674" t="s">
        <v>24</v>
      </c>
      <c r="D674" t="s">
        <v>18</v>
      </c>
      <c r="E674" s="17">
        <v>21207.61</v>
      </c>
      <c r="F674" s="17">
        <v>5923.65</v>
      </c>
      <c r="G674" s="17">
        <v>5923.65</v>
      </c>
    </row>
    <row r="675" spans="1:7" x14ac:dyDescent="0.3">
      <c r="A675" t="s">
        <v>36</v>
      </c>
      <c r="B675" t="s">
        <v>26</v>
      </c>
      <c r="C675" t="s">
        <v>24</v>
      </c>
      <c r="D675" t="s">
        <v>19</v>
      </c>
      <c r="E675" s="17">
        <v>23783.99</v>
      </c>
      <c r="F675" s="17">
        <v>10602.87</v>
      </c>
      <c r="G675" s="17">
        <v>10602.87</v>
      </c>
    </row>
    <row r="676" spans="1:7" x14ac:dyDescent="0.3">
      <c r="A676" t="s">
        <v>36</v>
      </c>
      <c r="B676" t="s">
        <v>26</v>
      </c>
      <c r="C676" t="s">
        <v>24</v>
      </c>
      <c r="D676" t="s">
        <v>20</v>
      </c>
      <c r="E676" s="17">
        <v>12618.64</v>
      </c>
      <c r="F676" s="17">
        <v>3231.360000000001</v>
      </c>
      <c r="G676" s="17">
        <v>3231.36</v>
      </c>
    </row>
    <row r="677" spans="1:7" x14ac:dyDescent="0.3">
      <c r="A677" t="s">
        <v>36</v>
      </c>
      <c r="B677" t="s">
        <v>26</v>
      </c>
      <c r="C677" t="s">
        <v>24</v>
      </c>
      <c r="D677" t="s">
        <v>21</v>
      </c>
      <c r="E677" s="17">
        <v>10783.07</v>
      </c>
      <c r="F677" s="17">
        <v>3476.610000000001</v>
      </c>
      <c r="G677" s="17">
        <v>3476.61</v>
      </c>
    </row>
    <row r="678" spans="1:7" x14ac:dyDescent="0.3">
      <c r="A678" t="s">
        <v>36</v>
      </c>
      <c r="B678" t="s">
        <v>26</v>
      </c>
      <c r="C678" t="s">
        <v>25</v>
      </c>
      <c r="D678" t="s">
        <v>18</v>
      </c>
      <c r="E678" s="17">
        <v>24224.17</v>
      </c>
      <c r="F678" s="17">
        <v>9703.25</v>
      </c>
      <c r="G678" s="17">
        <v>9703.25</v>
      </c>
    </row>
    <row r="679" spans="1:7" x14ac:dyDescent="0.3">
      <c r="A679" t="s">
        <v>36</v>
      </c>
      <c r="B679" t="s">
        <v>26</v>
      </c>
      <c r="C679" t="s">
        <v>25</v>
      </c>
      <c r="D679" t="s">
        <v>19</v>
      </c>
      <c r="E679" s="17">
        <v>20428.96</v>
      </c>
      <c r="F679" s="17">
        <v>4440.59</v>
      </c>
      <c r="G679" s="17">
        <v>4440.59</v>
      </c>
    </row>
    <row r="680" spans="1:7" x14ac:dyDescent="0.3">
      <c r="A680" t="s">
        <v>36</v>
      </c>
      <c r="B680" t="s">
        <v>26</v>
      </c>
      <c r="C680" t="s">
        <v>25</v>
      </c>
      <c r="D680" t="s">
        <v>20</v>
      </c>
      <c r="E680" s="17">
        <v>7750.07</v>
      </c>
      <c r="F680" s="17">
        <v>2736.690000000001</v>
      </c>
      <c r="G680" s="17">
        <v>2736.69</v>
      </c>
    </row>
    <row r="681" spans="1:7" x14ac:dyDescent="0.3">
      <c r="A681" t="s">
        <v>36</v>
      </c>
      <c r="B681" t="s">
        <v>26</v>
      </c>
      <c r="C681" t="s">
        <v>25</v>
      </c>
      <c r="D681" t="s">
        <v>21</v>
      </c>
      <c r="E681" s="17">
        <v>22104.69</v>
      </c>
      <c r="F681" s="17">
        <v>7288.49</v>
      </c>
      <c r="G681" s="17">
        <v>7288.49</v>
      </c>
    </row>
    <row r="682" spans="1:7" x14ac:dyDescent="0.3">
      <c r="A682" t="s">
        <v>36</v>
      </c>
      <c r="B682" t="s">
        <v>27</v>
      </c>
      <c r="C682" t="s">
        <v>17</v>
      </c>
      <c r="D682" t="s">
        <v>18</v>
      </c>
      <c r="E682" s="17">
        <v>4359.5600000000004</v>
      </c>
      <c r="F682" s="17">
        <v>1780.4</v>
      </c>
      <c r="G682" s="17">
        <v>1780.4</v>
      </c>
    </row>
    <row r="683" spans="1:7" x14ac:dyDescent="0.3">
      <c r="A683" t="s">
        <v>36</v>
      </c>
      <c r="B683" t="s">
        <v>27</v>
      </c>
      <c r="C683" t="s">
        <v>17</v>
      </c>
      <c r="D683" t="s">
        <v>19</v>
      </c>
      <c r="E683" s="17">
        <v>21576.82</v>
      </c>
      <c r="F683" s="17">
        <v>5544.5299999999988</v>
      </c>
      <c r="G683" s="17">
        <v>5544.53</v>
      </c>
    </row>
    <row r="684" spans="1:7" x14ac:dyDescent="0.3">
      <c r="A684" t="s">
        <v>36</v>
      </c>
      <c r="B684" t="s">
        <v>27</v>
      </c>
      <c r="C684" t="s">
        <v>17</v>
      </c>
      <c r="D684" t="s">
        <v>20</v>
      </c>
      <c r="E684" s="17">
        <v>19551.689999999999</v>
      </c>
      <c r="F684" s="17">
        <v>4959.3600000000006</v>
      </c>
      <c r="G684" s="17">
        <v>4959.3599999999997</v>
      </c>
    </row>
    <row r="685" spans="1:7" x14ac:dyDescent="0.3">
      <c r="A685" t="s">
        <v>36</v>
      </c>
      <c r="B685" t="s">
        <v>27</v>
      </c>
      <c r="C685" t="s">
        <v>17</v>
      </c>
      <c r="D685" t="s">
        <v>21</v>
      </c>
      <c r="E685" s="17">
        <v>22822.04</v>
      </c>
      <c r="F685" s="17">
        <v>5015.9199999999983</v>
      </c>
      <c r="G685" s="17">
        <v>5015.92</v>
      </c>
    </row>
    <row r="686" spans="1:7" x14ac:dyDescent="0.3">
      <c r="A686" t="s">
        <v>36</v>
      </c>
      <c r="B686" t="s">
        <v>27</v>
      </c>
      <c r="C686" t="s">
        <v>22</v>
      </c>
      <c r="D686" t="s">
        <v>18</v>
      </c>
      <c r="E686" s="17">
        <v>12061.87</v>
      </c>
      <c r="F686" s="17">
        <v>5253.33</v>
      </c>
      <c r="G686" s="17">
        <v>5253.33</v>
      </c>
    </row>
    <row r="687" spans="1:7" x14ac:dyDescent="0.3">
      <c r="A687" t="s">
        <v>36</v>
      </c>
      <c r="B687" t="s">
        <v>27</v>
      </c>
      <c r="C687" t="s">
        <v>22</v>
      </c>
      <c r="D687" t="s">
        <v>19</v>
      </c>
      <c r="E687" s="17">
        <v>7106.87</v>
      </c>
      <c r="F687" s="17">
        <v>2144.89</v>
      </c>
      <c r="G687" s="17">
        <v>2144.89</v>
      </c>
    </row>
    <row r="688" spans="1:7" x14ac:dyDescent="0.3">
      <c r="A688" t="s">
        <v>36</v>
      </c>
      <c r="B688" t="s">
        <v>27</v>
      </c>
      <c r="C688" t="s">
        <v>22</v>
      </c>
      <c r="D688" t="s">
        <v>20</v>
      </c>
      <c r="E688" s="17">
        <v>10040.459999999999</v>
      </c>
      <c r="F688" s="17">
        <v>1879.58</v>
      </c>
      <c r="G688" s="17">
        <v>1879.58</v>
      </c>
    </row>
    <row r="689" spans="1:7" x14ac:dyDescent="0.3">
      <c r="A689" t="s">
        <v>36</v>
      </c>
      <c r="B689" t="s">
        <v>27</v>
      </c>
      <c r="C689" t="s">
        <v>22</v>
      </c>
      <c r="D689" t="s">
        <v>21</v>
      </c>
      <c r="E689" s="17">
        <v>3224.91</v>
      </c>
      <c r="F689" s="17">
        <v>1017.59</v>
      </c>
      <c r="G689" s="17">
        <v>1017.59</v>
      </c>
    </row>
    <row r="690" spans="1:7" x14ac:dyDescent="0.3">
      <c r="A690" t="s">
        <v>36</v>
      </c>
      <c r="B690" t="s">
        <v>27</v>
      </c>
      <c r="C690" t="s">
        <v>23</v>
      </c>
      <c r="D690" t="s">
        <v>18</v>
      </c>
      <c r="E690" s="17">
        <v>7422.9</v>
      </c>
      <c r="F690" s="17">
        <v>3329.33</v>
      </c>
      <c r="G690" s="17">
        <v>3329.33</v>
      </c>
    </row>
    <row r="691" spans="1:7" x14ac:dyDescent="0.3">
      <c r="A691" t="s">
        <v>36</v>
      </c>
      <c r="B691" t="s">
        <v>27</v>
      </c>
      <c r="C691" t="s">
        <v>23</v>
      </c>
      <c r="D691" t="s">
        <v>19</v>
      </c>
      <c r="E691" s="17">
        <v>10622.99</v>
      </c>
      <c r="F691" s="17">
        <v>1992.99</v>
      </c>
      <c r="G691" s="17">
        <v>1992.99</v>
      </c>
    </row>
    <row r="692" spans="1:7" x14ac:dyDescent="0.3">
      <c r="A692" t="s">
        <v>36</v>
      </c>
      <c r="B692" t="s">
        <v>27</v>
      </c>
      <c r="C692" t="s">
        <v>23</v>
      </c>
      <c r="D692" t="s">
        <v>20</v>
      </c>
      <c r="E692" s="17">
        <v>23409</v>
      </c>
      <c r="F692" s="17">
        <v>9517.57</v>
      </c>
      <c r="G692" s="17">
        <v>9517.57</v>
      </c>
    </row>
    <row r="693" spans="1:7" x14ac:dyDescent="0.3">
      <c r="A693" t="s">
        <v>36</v>
      </c>
      <c r="B693" t="s">
        <v>27</v>
      </c>
      <c r="C693" t="s">
        <v>23</v>
      </c>
      <c r="D693" t="s">
        <v>21</v>
      </c>
      <c r="E693" s="17">
        <v>16949.099999999999</v>
      </c>
      <c r="F693" s="17">
        <v>6672.4</v>
      </c>
      <c r="G693" s="17">
        <v>6672.4</v>
      </c>
    </row>
    <row r="694" spans="1:7" x14ac:dyDescent="0.3">
      <c r="A694" t="s">
        <v>36</v>
      </c>
      <c r="B694" t="s">
        <v>27</v>
      </c>
      <c r="C694" t="s">
        <v>24</v>
      </c>
      <c r="D694" t="s">
        <v>18</v>
      </c>
      <c r="E694" s="17">
        <v>5164.79</v>
      </c>
      <c r="F694" s="17">
        <v>1329.71</v>
      </c>
      <c r="G694" s="17">
        <v>1329.71</v>
      </c>
    </row>
    <row r="695" spans="1:7" x14ac:dyDescent="0.3">
      <c r="A695" t="s">
        <v>36</v>
      </c>
      <c r="B695" t="s">
        <v>27</v>
      </c>
      <c r="C695" t="s">
        <v>24</v>
      </c>
      <c r="D695" t="s">
        <v>19</v>
      </c>
      <c r="E695" s="17">
        <v>21084.52</v>
      </c>
      <c r="F695" s="17">
        <v>7757.83</v>
      </c>
      <c r="G695" s="17">
        <v>7757.83</v>
      </c>
    </row>
    <row r="696" spans="1:7" x14ac:dyDescent="0.3">
      <c r="A696" t="s">
        <v>36</v>
      </c>
      <c r="B696" t="s">
        <v>27</v>
      </c>
      <c r="C696" t="s">
        <v>24</v>
      </c>
      <c r="D696" t="s">
        <v>20</v>
      </c>
      <c r="E696" s="17">
        <v>5192.2299999999996</v>
      </c>
      <c r="F696" s="17">
        <v>1923.69</v>
      </c>
      <c r="G696" s="17">
        <v>1923.69</v>
      </c>
    </row>
    <row r="697" spans="1:7" x14ac:dyDescent="0.3">
      <c r="A697" t="s">
        <v>36</v>
      </c>
      <c r="B697" t="s">
        <v>27</v>
      </c>
      <c r="C697" t="s">
        <v>24</v>
      </c>
      <c r="D697" t="s">
        <v>21</v>
      </c>
      <c r="E697" s="17">
        <v>12317.83</v>
      </c>
      <c r="F697" s="17">
        <v>2234.67</v>
      </c>
      <c r="G697" s="17">
        <v>2234.67</v>
      </c>
    </row>
    <row r="698" spans="1:7" x14ac:dyDescent="0.3">
      <c r="A698" t="s">
        <v>36</v>
      </c>
      <c r="B698" t="s">
        <v>27</v>
      </c>
      <c r="C698" t="s">
        <v>25</v>
      </c>
      <c r="D698" t="s">
        <v>18</v>
      </c>
      <c r="E698" s="17">
        <v>3822.19</v>
      </c>
      <c r="F698" s="17">
        <v>952.11000000000013</v>
      </c>
      <c r="G698" s="17">
        <v>952.11</v>
      </c>
    </row>
    <row r="699" spans="1:7" x14ac:dyDescent="0.3">
      <c r="A699" t="s">
        <v>36</v>
      </c>
      <c r="B699" t="s">
        <v>27</v>
      </c>
      <c r="C699" t="s">
        <v>25</v>
      </c>
      <c r="D699" t="s">
        <v>19</v>
      </c>
      <c r="E699" s="17">
        <v>21204.15</v>
      </c>
      <c r="F699" s="17">
        <v>6958.7200000000012</v>
      </c>
      <c r="G699" s="17">
        <v>6958.72</v>
      </c>
    </row>
    <row r="700" spans="1:7" x14ac:dyDescent="0.3">
      <c r="A700" t="s">
        <v>36</v>
      </c>
      <c r="B700" t="s">
        <v>27</v>
      </c>
      <c r="C700" t="s">
        <v>25</v>
      </c>
      <c r="D700" t="s">
        <v>20</v>
      </c>
      <c r="E700" s="17">
        <v>18726.400000000001</v>
      </c>
      <c r="F700" s="17">
        <v>6039.23</v>
      </c>
      <c r="G700" s="17">
        <v>6039.23</v>
      </c>
    </row>
    <row r="701" spans="1:7" x14ac:dyDescent="0.3">
      <c r="A701" t="s">
        <v>36</v>
      </c>
      <c r="B701" t="s">
        <v>27</v>
      </c>
      <c r="C701" t="s">
        <v>25</v>
      </c>
      <c r="D701" t="s">
        <v>21</v>
      </c>
      <c r="E701" s="17">
        <v>4557.3</v>
      </c>
      <c r="F701" s="17">
        <v>1174.81</v>
      </c>
      <c r="G701" s="17">
        <v>1174.81</v>
      </c>
    </row>
    <row r="702" spans="1:7" x14ac:dyDescent="0.3">
      <c r="A702" t="s">
        <v>36</v>
      </c>
      <c r="B702" t="s">
        <v>28</v>
      </c>
      <c r="C702" t="s">
        <v>17</v>
      </c>
      <c r="D702" t="s">
        <v>18</v>
      </c>
      <c r="E702" s="17">
        <v>8926.48</v>
      </c>
      <c r="F702" s="17">
        <v>1721.85</v>
      </c>
      <c r="G702" s="17">
        <v>1721.85</v>
      </c>
    </row>
    <row r="703" spans="1:7" x14ac:dyDescent="0.3">
      <c r="A703" t="s">
        <v>36</v>
      </c>
      <c r="B703" t="s">
        <v>28</v>
      </c>
      <c r="C703" t="s">
        <v>17</v>
      </c>
      <c r="D703" t="s">
        <v>19</v>
      </c>
      <c r="E703" s="17">
        <v>11655.99</v>
      </c>
      <c r="F703" s="17">
        <v>4596.57</v>
      </c>
      <c r="G703" s="17">
        <v>4596.57</v>
      </c>
    </row>
    <row r="704" spans="1:7" x14ac:dyDescent="0.3">
      <c r="A704" t="s">
        <v>36</v>
      </c>
      <c r="B704" t="s">
        <v>28</v>
      </c>
      <c r="C704" t="s">
        <v>17</v>
      </c>
      <c r="D704" t="s">
        <v>20</v>
      </c>
      <c r="E704" s="17">
        <v>12513.61</v>
      </c>
      <c r="F704" s="17">
        <v>2627</v>
      </c>
      <c r="G704" s="17">
        <v>2627</v>
      </c>
    </row>
    <row r="705" spans="1:7" x14ac:dyDescent="0.3">
      <c r="A705" t="s">
        <v>36</v>
      </c>
      <c r="B705" t="s">
        <v>28</v>
      </c>
      <c r="C705" t="s">
        <v>17</v>
      </c>
      <c r="D705" t="s">
        <v>21</v>
      </c>
      <c r="E705" s="17">
        <v>22818.38</v>
      </c>
      <c r="F705" s="17">
        <v>7783.7999999999993</v>
      </c>
      <c r="G705" s="17">
        <v>7783.8</v>
      </c>
    </row>
    <row r="706" spans="1:7" x14ac:dyDescent="0.3">
      <c r="A706" t="s">
        <v>36</v>
      </c>
      <c r="B706" t="s">
        <v>28</v>
      </c>
      <c r="C706" t="s">
        <v>22</v>
      </c>
      <c r="D706" t="s">
        <v>18</v>
      </c>
      <c r="E706" s="17">
        <v>2378.0100000000002</v>
      </c>
      <c r="F706" s="17">
        <v>758.95</v>
      </c>
      <c r="G706" s="17">
        <v>758.95</v>
      </c>
    </row>
    <row r="707" spans="1:7" x14ac:dyDescent="0.3">
      <c r="A707" t="s">
        <v>36</v>
      </c>
      <c r="B707" t="s">
        <v>28</v>
      </c>
      <c r="C707" t="s">
        <v>22</v>
      </c>
      <c r="D707" t="s">
        <v>19</v>
      </c>
      <c r="E707" s="17">
        <v>7564.58</v>
      </c>
      <c r="F707" s="17">
        <v>1654.87</v>
      </c>
      <c r="G707" s="17">
        <v>1654.87</v>
      </c>
    </row>
    <row r="708" spans="1:7" x14ac:dyDescent="0.3">
      <c r="A708" t="s">
        <v>36</v>
      </c>
      <c r="B708" t="s">
        <v>28</v>
      </c>
      <c r="C708" t="s">
        <v>22</v>
      </c>
      <c r="D708" t="s">
        <v>20</v>
      </c>
      <c r="E708" s="17">
        <v>11872.49</v>
      </c>
      <c r="F708" s="17">
        <v>4107.8599999999997</v>
      </c>
      <c r="G708" s="17">
        <v>4107.8599999999997</v>
      </c>
    </row>
    <row r="709" spans="1:7" x14ac:dyDescent="0.3">
      <c r="A709" t="s">
        <v>36</v>
      </c>
      <c r="B709" t="s">
        <v>28</v>
      </c>
      <c r="C709" t="s">
        <v>22</v>
      </c>
      <c r="D709" t="s">
        <v>21</v>
      </c>
      <c r="E709" s="17">
        <v>7532.98</v>
      </c>
      <c r="F709" s="17">
        <v>2203.1999999999998</v>
      </c>
      <c r="G709" s="17">
        <v>2203.1999999999998</v>
      </c>
    </row>
    <row r="710" spans="1:7" x14ac:dyDescent="0.3">
      <c r="A710" t="s">
        <v>36</v>
      </c>
      <c r="B710" t="s">
        <v>28</v>
      </c>
      <c r="C710" t="s">
        <v>23</v>
      </c>
      <c r="D710" t="s">
        <v>18</v>
      </c>
      <c r="E710" s="17">
        <v>17280.54</v>
      </c>
      <c r="F710" s="17">
        <v>3509.9500000000012</v>
      </c>
      <c r="G710" s="17">
        <v>3509.95</v>
      </c>
    </row>
    <row r="711" spans="1:7" x14ac:dyDescent="0.3">
      <c r="A711" t="s">
        <v>36</v>
      </c>
      <c r="B711" t="s">
        <v>28</v>
      </c>
      <c r="C711" t="s">
        <v>23</v>
      </c>
      <c r="D711" t="s">
        <v>19</v>
      </c>
      <c r="E711" s="17">
        <v>24417.05</v>
      </c>
      <c r="F711" s="17">
        <v>4841.25</v>
      </c>
      <c r="G711" s="17">
        <v>4841.25</v>
      </c>
    </row>
    <row r="712" spans="1:7" x14ac:dyDescent="0.3">
      <c r="A712" t="s">
        <v>36</v>
      </c>
      <c r="B712" t="s">
        <v>28</v>
      </c>
      <c r="C712" t="s">
        <v>23</v>
      </c>
      <c r="D712" t="s">
        <v>20</v>
      </c>
      <c r="E712" s="17">
        <v>14099.37</v>
      </c>
      <c r="F712" s="17">
        <v>4469.1999999999989</v>
      </c>
      <c r="G712" s="17">
        <v>4469.2</v>
      </c>
    </row>
    <row r="713" spans="1:7" x14ac:dyDescent="0.3">
      <c r="A713" t="s">
        <v>36</v>
      </c>
      <c r="B713" t="s">
        <v>28</v>
      </c>
      <c r="C713" t="s">
        <v>23</v>
      </c>
      <c r="D713" t="s">
        <v>21</v>
      </c>
      <c r="E713" s="17">
        <v>24731.62</v>
      </c>
      <c r="F713" s="17">
        <v>8152.0600000000013</v>
      </c>
      <c r="G713" s="17">
        <v>8152.06</v>
      </c>
    </row>
    <row r="714" spans="1:7" x14ac:dyDescent="0.3">
      <c r="A714" t="s">
        <v>36</v>
      </c>
      <c r="B714" t="s">
        <v>28</v>
      </c>
      <c r="C714" t="s">
        <v>24</v>
      </c>
      <c r="D714" t="s">
        <v>18</v>
      </c>
      <c r="E714" s="17">
        <v>10980.44</v>
      </c>
      <c r="F714" s="17">
        <v>3370.3</v>
      </c>
      <c r="G714" s="17">
        <v>3370.3</v>
      </c>
    </row>
    <row r="715" spans="1:7" x14ac:dyDescent="0.3">
      <c r="A715" t="s">
        <v>36</v>
      </c>
      <c r="B715" t="s">
        <v>28</v>
      </c>
      <c r="C715" t="s">
        <v>24</v>
      </c>
      <c r="D715" t="s">
        <v>19</v>
      </c>
      <c r="E715" s="17">
        <v>16620.43</v>
      </c>
      <c r="F715" s="17">
        <v>7394.1100000000006</v>
      </c>
      <c r="G715" s="17">
        <v>7394.11</v>
      </c>
    </row>
    <row r="716" spans="1:7" x14ac:dyDescent="0.3">
      <c r="A716" t="s">
        <v>36</v>
      </c>
      <c r="B716" t="s">
        <v>28</v>
      </c>
      <c r="C716" t="s">
        <v>24</v>
      </c>
      <c r="D716" t="s">
        <v>20</v>
      </c>
      <c r="E716" s="17">
        <v>7833.96</v>
      </c>
      <c r="F716" s="17">
        <v>1444.47</v>
      </c>
      <c r="G716" s="17">
        <v>1444.47</v>
      </c>
    </row>
    <row r="717" spans="1:7" x14ac:dyDescent="0.3">
      <c r="A717" t="s">
        <v>36</v>
      </c>
      <c r="B717" t="s">
        <v>28</v>
      </c>
      <c r="C717" t="s">
        <v>24</v>
      </c>
      <c r="D717" t="s">
        <v>21</v>
      </c>
      <c r="E717" s="17">
        <v>20135.96</v>
      </c>
      <c r="F717" s="17">
        <v>5499.0600000000013</v>
      </c>
      <c r="G717" s="17">
        <v>5499.06</v>
      </c>
    </row>
    <row r="718" spans="1:7" x14ac:dyDescent="0.3">
      <c r="A718" t="s">
        <v>36</v>
      </c>
      <c r="B718" t="s">
        <v>28</v>
      </c>
      <c r="C718" t="s">
        <v>25</v>
      </c>
      <c r="D718" t="s">
        <v>18</v>
      </c>
      <c r="E718" s="17">
        <v>18857.64</v>
      </c>
      <c r="F718" s="17">
        <v>6593.18</v>
      </c>
      <c r="G718" s="17">
        <v>6593.18</v>
      </c>
    </row>
    <row r="719" spans="1:7" x14ac:dyDescent="0.3">
      <c r="A719" t="s">
        <v>36</v>
      </c>
      <c r="B719" t="s">
        <v>28</v>
      </c>
      <c r="C719" t="s">
        <v>25</v>
      </c>
      <c r="D719" t="s">
        <v>19</v>
      </c>
      <c r="E719" s="17">
        <v>19744.53</v>
      </c>
      <c r="F719" s="17">
        <v>7473.3100000000013</v>
      </c>
      <c r="G719" s="17">
        <v>7473.31</v>
      </c>
    </row>
    <row r="720" spans="1:7" x14ac:dyDescent="0.3">
      <c r="A720" t="s">
        <v>36</v>
      </c>
      <c r="B720" t="s">
        <v>28</v>
      </c>
      <c r="C720" t="s">
        <v>25</v>
      </c>
      <c r="D720" t="s">
        <v>20</v>
      </c>
      <c r="E720" s="17">
        <v>9647.93</v>
      </c>
      <c r="F720" s="17">
        <v>1852.12</v>
      </c>
      <c r="G720" s="17">
        <v>1852.12</v>
      </c>
    </row>
    <row r="721" spans="1:7" x14ac:dyDescent="0.3">
      <c r="A721" t="s">
        <v>36</v>
      </c>
      <c r="B721" t="s">
        <v>28</v>
      </c>
      <c r="C721" t="s">
        <v>25</v>
      </c>
      <c r="D721" t="s">
        <v>21</v>
      </c>
      <c r="E721" s="17">
        <v>14558.32</v>
      </c>
      <c r="F721" s="17">
        <v>5818.1899999999987</v>
      </c>
      <c r="G721" s="17">
        <v>5818.19</v>
      </c>
    </row>
    <row r="722" spans="1:7" x14ac:dyDescent="0.3">
      <c r="A722" t="s">
        <v>37</v>
      </c>
      <c r="B722" t="s">
        <v>16</v>
      </c>
      <c r="C722" t="s">
        <v>17</v>
      </c>
      <c r="D722" t="s">
        <v>18</v>
      </c>
      <c r="E722" s="17">
        <v>6027.05</v>
      </c>
      <c r="F722" s="17">
        <v>2352.77</v>
      </c>
      <c r="G722" s="17">
        <v>2352.77</v>
      </c>
    </row>
    <row r="723" spans="1:7" x14ac:dyDescent="0.3">
      <c r="A723" t="s">
        <v>37</v>
      </c>
      <c r="B723" t="s">
        <v>16</v>
      </c>
      <c r="C723" t="s">
        <v>17</v>
      </c>
      <c r="D723" t="s">
        <v>19</v>
      </c>
      <c r="E723" s="17">
        <v>12686.33</v>
      </c>
      <c r="F723" s="17">
        <v>4665.46</v>
      </c>
      <c r="G723" s="17">
        <v>4665.46</v>
      </c>
    </row>
    <row r="724" spans="1:7" x14ac:dyDescent="0.3">
      <c r="A724" t="s">
        <v>37</v>
      </c>
      <c r="B724" t="s">
        <v>16</v>
      </c>
      <c r="C724" t="s">
        <v>17</v>
      </c>
      <c r="D724" t="s">
        <v>20</v>
      </c>
      <c r="E724" s="17">
        <v>16529.919999999998</v>
      </c>
      <c r="F724" s="17">
        <v>6597.16</v>
      </c>
      <c r="G724" s="17">
        <v>6597.16</v>
      </c>
    </row>
    <row r="725" spans="1:7" x14ac:dyDescent="0.3">
      <c r="A725" t="s">
        <v>37</v>
      </c>
      <c r="B725" t="s">
        <v>16</v>
      </c>
      <c r="C725" t="s">
        <v>17</v>
      </c>
      <c r="D725" t="s">
        <v>21</v>
      </c>
      <c r="E725" s="17">
        <v>3451.31</v>
      </c>
      <c r="F725" s="17">
        <v>1344.53</v>
      </c>
      <c r="G725" s="17">
        <v>1344.53</v>
      </c>
    </row>
    <row r="726" spans="1:7" x14ac:dyDescent="0.3">
      <c r="A726" t="s">
        <v>37</v>
      </c>
      <c r="B726" t="s">
        <v>16</v>
      </c>
      <c r="C726" t="s">
        <v>22</v>
      </c>
      <c r="D726" t="s">
        <v>18</v>
      </c>
      <c r="E726" s="17">
        <v>12526.63</v>
      </c>
      <c r="F726" s="17">
        <v>3247.27</v>
      </c>
      <c r="G726" s="17">
        <v>3247.27</v>
      </c>
    </row>
    <row r="727" spans="1:7" x14ac:dyDescent="0.3">
      <c r="A727" t="s">
        <v>37</v>
      </c>
      <c r="B727" t="s">
        <v>16</v>
      </c>
      <c r="C727" t="s">
        <v>22</v>
      </c>
      <c r="D727" t="s">
        <v>19</v>
      </c>
      <c r="E727" s="17">
        <v>3007.54</v>
      </c>
      <c r="F727" s="17">
        <v>703.32999999999993</v>
      </c>
      <c r="G727" s="17">
        <v>703.33</v>
      </c>
    </row>
    <row r="728" spans="1:7" x14ac:dyDescent="0.3">
      <c r="A728" t="s">
        <v>37</v>
      </c>
      <c r="B728" t="s">
        <v>16</v>
      </c>
      <c r="C728" t="s">
        <v>22</v>
      </c>
      <c r="D728" t="s">
        <v>20</v>
      </c>
      <c r="E728" s="17">
        <v>2963.84</v>
      </c>
      <c r="F728" s="17">
        <v>1280.4100000000001</v>
      </c>
      <c r="G728" s="17">
        <v>1280.4100000000001</v>
      </c>
    </row>
    <row r="729" spans="1:7" x14ac:dyDescent="0.3">
      <c r="A729" t="s">
        <v>37</v>
      </c>
      <c r="B729" t="s">
        <v>16</v>
      </c>
      <c r="C729" t="s">
        <v>22</v>
      </c>
      <c r="D729" t="s">
        <v>21</v>
      </c>
      <c r="E729" s="17">
        <v>13853.82</v>
      </c>
      <c r="F729" s="17">
        <v>6193.53</v>
      </c>
      <c r="G729" s="17">
        <v>6193.53</v>
      </c>
    </row>
    <row r="730" spans="1:7" x14ac:dyDescent="0.3">
      <c r="A730" t="s">
        <v>37</v>
      </c>
      <c r="B730" t="s">
        <v>16</v>
      </c>
      <c r="C730" t="s">
        <v>23</v>
      </c>
      <c r="D730" t="s">
        <v>18</v>
      </c>
      <c r="E730" s="17">
        <v>14489.71</v>
      </c>
      <c r="F730" s="17">
        <v>3599.17</v>
      </c>
      <c r="G730" s="17">
        <v>3599.17</v>
      </c>
    </row>
    <row r="731" spans="1:7" x14ac:dyDescent="0.3">
      <c r="A731" t="s">
        <v>37</v>
      </c>
      <c r="B731" t="s">
        <v>16</v>
      </c>
      <c r="C731" t="s">
        <v>23</v>
      </c>
      <c r="D731" t="s">
        <v>19</v>
      </c>
      <c r="E731" s="17">
        <v>19325.689999999999</v>
      </c>
      <c r="F731" s="17">
        <v>4475.7900000000009</v>
      </c>
      <c r="G731" s="17">
        <v>4475.79</v>
      </c>
    </row>
    <row r="732" spans="1:7" x14ac:dyDescent="0.3">
      <c r="A732" t="s">
        <v>37</v>
      </c>
      <c r="B732" t="s">
        <v>16</v>
      </c>
      <c r="C732" t="s">
        <v>23</v>
      </c>
      <c r="D732" t="s">
        <v>20</v>
      </c>
      <c r="E732" s="17">
        <v>10210.41</v>
      </c>
      <c r="F732" s="17">
        <v>3990.51</v>
      </c>
      <c r="G732" s="17">
        <v>3990.51</v>
      </c>
    </row>
    <row r="733" spans="1:7" x14ac:dyDescent="0.3">
      <c r="A733" t="s">
        <v>37</v>
      </c>
      <c r="B733" t="s">
        <v>16</v>
      </c>
      <c r="C733" t="s">
        <v>23</v>
      </c>
      <c r="D733" t="s">
        <v>21</v>
      </c>
      <c r="E733" s="17">
        <v>21913.360000000001</v>
      </c>
      <c r="F733" s="17">
        <v>5908.27</v>
      </c>
      <c r="G733" s="17">
        <v>5908.27</v>
      </c>
    </row>
    <row r="734" spans="1:7" x14ac:dyDescent="0.3">
      <c r="A734" t="s">
        <v>37</v>
      </c>
      <c r="B734" t="s">
        <v>16</v>
      </c>
      <c r="C734" t="s">
        <v>24</v>
      </c>
      <c r="D734" t="s">
        <v>18</v>
      </c>
      <c r="E734" s="17">
        <v>4862.93</v>
      </c>
      <c r="F734" s="17">
        <v>1358.53</v>
      </c>
      <c r="G734" s="17">
        <v>1358.53</v>
      </c>
    </row>
    <row r="735" spans="1:7" x14ac:dyDescent="0.3">
      <c r="A735" t="s">
        <v>37</v>
      </c>
      <c r="B735" t="s">
        <v>16</v>
      </c>
      <c r="C735" t="s">
        <v>24</v>
      </c>
      <c r="D735" t="s">
        <v>19</v>
      </c>
      <c r="E735" s="17">
        <v>22458.19</v>
      </c>
      <c r="F735" s="17">
        <v>8549.68</v>
      </c>
      <c r="G735" s="17">
        <v>8549.68</v>
      </c>
    </row>
    <row r="736" spans="1:7" x14ac:dyDescent="0.3">
      <c r="A736" t="s">
        <v>37</v>
      </c>
      <c r="B736" t="s">
        <v>16</v>
      </c>
      <c r="C736" t="s">
        <v>24</v>
      </c>
      <c r="D736" t="s">
        <v>20</v>
      </c>
      <c r="E736" s="17">
        <v>22576.66</v>
      </c>
      <c r="F736" s="17">
        <v>6420.67</v>
      </c>
      <c r="G736" s="17">
        <v>6420.67</v>
      </c>
    </row>
    <row r="737" spans="1:7" x14ac:dyDescent="0.3">
      <c r="A737" t="s">
        <v>37</v>
      </c>
      <c r="B737" t="s">
        <v>16</v>
      </c>
      <c r="C737" t="s">
        <v>24</v>
      </c>
      <c r="D737" t="s">
        <v>21</v>
      </c>
      <c r="E737" s="17">
        <v>24395.64</v>
      </c>
      <c r="F737" s="17">
        <v>7659.619999999999</v>
      </c>
      <c r="G737" s="17">
        <v>7659.62</v>
      </c>
    </row>
    <row r="738" spans="1:7" x14ac:dyDescent="0.3">
      <c r="A738" t="s">
        <v>37</v>
      </c>
      <c r="B738" t="s">
        <v>16</v>
      </c>
      <c r="C738" t="s">
        <v>25</v>
      </c>
      <c r="D738" t="s">
        <v>18</v>
      </c>
      <c r="E738" s="17">
        <v>13443.04</v>
      </c>
      <c r="F738" s="17">
        <v>5774.64</v>
      </c>
      <c r="G738" s="17">
        <v>5774.64</v>
      </c>
    </row>
    <row r="739" spans="1:7" x14ac:dyDescent="0.3">
      <c r="A739" t="s">
        <v>37</v>
      </c>
      <c r="B739" t="s">
        <v>16</v>
      </c>
      <c r="C739" t="s">
        <v>25</v>
      </c>
      <c r="D739" t="s">
        <v>19</v>
      </c>
      <c r="E739" s="17">
        <v>13943.34</v>
      </c>
      <c r="F739" s="17">
        <v>5525.880000000001</v>
      </c>
      <c r="G739" s="17">
        <v>5525.88</v>
      </c>
    </row>
    <row r="740" spans="1:7" x14ac:dyDescent="0.3">
      <c r="A740" t="s">
        <v>37</v>
      </c>
      <c r="B740" t="s">
        <v>16</v>
      </c>
      <c r="C740" t="s">
        <v>25</v>
      </c>
      <c r="D740" t="s">
        <v>20</v>
      </c>
      <c r="E740" s="17">
        <v>18722.87</v>
      </c>
      <c r="F740" s="17">
        <v>3769.110000000001</v>
      </c>
      <c r="G740" s="17">
        <v>3769.11</v>
      </c>
    </row>
    <row r="741" spans="1:7" x14ac:dyDescent="0.3">
      <c r="A741" t="s">
        <v>37</v>
      </c>
      <c r="B741" t="s">
        <v>16</v>
      </c>
      <c r="C741" t="s">
        <v>25</v>
      </c>
      <c r="D741" t="s">
        <v>21</v>
      </c>
      <c r="E741" s="17">
        <v>15856.43</v>
      </c>
      <c r="F741" s="17">
        <v>6374.7900000000009</v>
      </c>
      <c r="G741" s="17">
        <v>6374.79</v>
      </c>
    </row>
    <row r="742" spans="1:7" x14ac:dyDescent="0.3">
      <c r="A742" t="s">
        <v>37</v>
      </c>
      <c r="B742" t="s">
        <v>26</v>
      </c>
      <c r="C742" t="s">
        <v>17</v>
      </c>
      <c r="D742" t="s">
        <v>18</v>
      </c>
      <c r="E742" s="17">
        <v>14545.91</v>
      </c>
      <c r="F742" s="17">
        <v>3879.7900000000009</v>
      </c>
      <c r="G742" s="17">
        <v>3879.79</v>
      </c>
    </row>
    <row r="743" spans="1:7" x14ac:dyDescent="0.3">
      <c r="A743" t="s">
        <v>37</v>
      </c>
      <c r="B743" t="s">
        <v>26</v>
      </c>
      <c r="C743" t="s">
        <v>17</v>
      </c>
      <c r="D743" t="s">
        <v>19</v>
      </c>
      <c r="E743" s="17">
        <v>3841.58</v>
      </c>
      <c r="F743" s="17">
        <v>1377.01</v>
      </c>
      <c r="G743" s="17">
        <v>1377.01</v>
      </c>
    </row>
    <row r="744" spans="1:7" x14ac:dyDescent="0.3">
      <c r="A744" t="s">
        <v>37</v>
      </c>
      <c r="B744" t="s">
        <v>26</v>
      </c>
      <c r="C744" t="s">
        <v>17</v>
      </c>
      <c r="D744" t="s">
        <v>20</v>
      </c>
      <c r="E744" s="17">
        <v>9049.4</v>
      </c>
      <c r="F744" s="17">
        <v>3101.3</v>
      </c>
      <c r="G744" s="17">
        <v>3101.3</v>
      </c>
    </row>
    <row r="745" spans="1:7" x14ac:dyDescent="0.3">
      <c r="A745" t="s">
        <v>37</v>
      </c>
      <c r="B745" t="s">
        <v>26</v>
      </c>
      <c r="C745" t="s">
        <v>17</v>
      </c>
      <c r="D745" t="s">
        <v>21</v>
      </c>
      <c r="E745" s="17">
        <v>11800.67</v>
      </c>
      <c r="F745" s="17">
        <v>4321.84</v>
      </c>
      <c r="G745" s="17">
        <v>4321.84</v>
      </c>
    </row>
    <row r="746" spans="1:7" x14ac:dyDescent="0.3">
      <c r="A746" t="s">
        <v>37</v>
      </c>
      <c r="B746" t="s">
        <v>26</v>
      </c>
      <c r="C746" t="s">
        <v>22</v>
      </c>
      <c r="D746" t="s">
        <v>18</v>
      </c>
      <c r="E746" s="17">
        <v>10085.58</v>
      </c>
      <c r="F746" s="17">
        <v>1930.74</v>
      </c>
      <c r="G746" s="17">
        <v>1930.74</v>
      </c>
    </row>
    <row r="747" spans="1:7" x14ac:dyDescent="0.3">
      <c r="A747" t="s">
        <v>37</v>
      </c>
      <c r="B747" t="s">
        <v>26</v>
      </c>
      <c r="C747" t="s">
        <v>22</v>
      </c>
      <c r="D747" t="s">
        <v>19</v>
      </c>
      <c r="E747" s="17">
        <v>22010.86</v>
      </c>
      <c r="F747" s="17">
        <v>6057.1899999999987</v>
      </c>
      <c r="G747" s="17">
        <v>6057.19</v>
      </c>
    </row>
    <row r="748" spans="1:7" x14ac:dyDescent="0.3">
      <c r="A748" t="s">
        <v>37</v>
      </c>
      <c r="B748" t="s">
        <v>26</v>
      </c>
      <c r="C748" t="s">
        <v>22</v>
      </c>
      <c r="D748" t="s">
        <v>20</v>
      </c>
      <c r="E748" s="17">
        <v>24957.46</v>
      </c>
      <c r="F748" s="17">
        <v>6342.4399999999987</v>
      </c>
      <c r="G748" s="17">
        <v>6342.44</v>
      </c>
    </row>
    <row r="749" spans="1:7" x14ac:dyDescent="0.3">
      <c r="A749" t="s">
        <v>37</v>
      </c>
      <c r="B749" t="s">
        <v>26</v>
      </c>
      <c r="C749" t="s">
        <v>22</v>
      </c>
      <c r="D749" t="s">
        <v>21</v>
      </c>
      <c r="E749" s="17">
        <v>24540.63</v>
      </c>
      <c r="F749" s="17">
        <v>10698.1</v>
      </c>
      <c r="G749" s="17">
        <v>10698.1</v>
      </c>
    </row>
    <row r="750" spans="1:7" x14ac:dyDescent="0.3">
      <c r="A750" t="s">
        <v>37</v>
      </c>
      <c r="B750" t="s">
        <v>26</v>
      </c>
      <c r="C750" t="s">
        <v>23</v>
      </c>
      <c r="D750" t="s">
        <v>18</v>
      </c>
      <c r="E750" s="17">
        <v>3725.95</v>
      </c>
      <c r="F750" s="17">
        <v>1312.01</v>
      </c>
      <c r="G750" s="17">
        <v>1312.01</v>
      </c>
    </row>
    <row r="751" spans="1:7" x14ac:dyDescent="0.3">
      <c r="A751" t="s">
        <v>37</v>
      </c>
      <c r="B751" t="s">
        <v>26</v>
      </c>
      <c r="C751" t="s">
        <v>23</v>
      </c>
      <c r="D751" t="s">
        <v>19</v>
      </c>
      <c r="E751" s="17">
        <v>10356.16</v>
      </c>
      <c r="F751" s="17">
        <v>4104.1000000000004</v>
      </c>
      <c r="G751" s="17">
        <v>4104.1000000000004</v>
      </c>
    </row>
    <row r="752" spans="1:7" x14ac:dyDescent="0.3">
      <c r="A752" t="s">
        <v>37</v>
      </c>
      <c r="B752" t="s">
        <v>26</v>
      </c>
      <c r="C752" t="s">
        <v>23</v>
      </c>
      <c r="D752" t="s">
        <v>20</v>
      </c>
      <c r="E752" s="17">
        <v>17626.439999999999</v>
      </c>
      <c r="F752" s="17">
        <v>7707.2200000000012</v>
      </c>
      <c r="G752" s="17">
        <v>7707.22</v>
      </c>
    </row>
    <row r="753" spans="1:7" x14ac:dyDescent="0.3">
      <c r="A753" t="s">
        <v>37</v>
      </c>
      <c r="B753" t="s">
        <v>26</v>
      </c>
      <c r="C753" t="s">
        <v>23</v>
      </c>
      <c r="D753" t="s">
        <v>21</v>
      </c>
      <c r="E753" s="17">
        <v>5283.93</v>
      </c>
      <c r="F753" s="17">
        <v>1817.91</v>
      </c>
      <c r="G753" s="17">
        <v>1817.91</v>
      </c>
    </row>
    <row r="754" spans="1:7" x14ac:dyDescent="0.3">
      <c r="A754" t="s">
        <v>37</v>
      </c>
      <c r="B754" t="s">
        <v>26</v>
      </c>
      <c r="C754" t="s">
        <v>24</v>
      </c>
      <c r="D754" t="s">
        <v>18</v>
      </c>
      <c r="E754" s="17">
        <v>19970.18</v>
      </c>
      <c r="F754" s="17">
        <v>3782.27</v>
      </c>
      <c r="G754" s="17">
        <v>3782.27</v>
      </c>
    </row>
    <row r="755" spans="1:7" x14ac:dyDescent="0.3">
      <c r="A755" t="s">
        <v>37</v>
      </c>
      <c r="B755" t="s">
        <v>26</v>
      </c>
      <c r="C755" t="s">
        <v>24</v>
      </c>
      <c r="D755" t="s">
        <v>19</v>
      </c>
      <c r="E755" s="17">
        <v>3546.37</v>
      </c>
      <c r="F755" s="17">
        <v>1383.79</v>
      </c>
      <c r="G755" s="17">
        <v>1383.79</v>
      </c>
    </row>
    <row r="756" spans="1:7" x14ac:dyDescent="0.3">
      <c r="A756" t="s">
        <v>37</v>
      </c>
      <c r="B756" t="s">
        <v>26</v>
      </c>
      <c r="C756" t="s">
        <v>24</v>
      </c>
      <c r="D756" t="s">
        <v>20</v>
      </c>
      <c r="E756" s="17">
        <v>10425.549999999999</v>
      </c>
      <c r="F756" s="17">
        <v>2954.3</v>
      </c>
      <c r="G756" s="17">
        <v>2954.3</v>
      </c>
    </row>
    <row r="757" spans="1:7" x14ac:dyDescent="0.3">
      <c r="A757" t="s">
        <v>37</v>
      </c>
      <c r="B757" t="s">
        <v>26</v>
      </c>
      <c r="C757" t="s">
        <v>24</v>
      </c>
      <c r="D757" t="s">
        <v>21</v>
      </c>
      <c r="E757" s="17">
        <v>15046.63</v>
      </c>
      <c r="F757" s="17">
        <v>5166.6499999999996</v>
      </c>
      <c r="G757" s="17">
        <v>5166.6499999999996</v>
      </c>
    </row>
    <row r="758" spans="1:7" x14ac:dyDescent="0.3">
      <c r="A758" t="s">
        <v>37</v>
      </c>
      <c r="B758" t="s">
        <v>26</v>
      </c>
      <c r="C758" t="s">
        <v>25</v>
      </c>
      <c r="D758" t="s">
        <v>18</v>
      </c>
      <c r="E758" s="17">
        <v>17618.43</v>
      </c>
      <c r="F758" s="17">
        <v>7684.85</v>
      </c>
      <c r="G758" s="17">
        <v>7684.85</v>
      </c>
    </row>
    <row r="759" spans="1:7" x14ac:dyDescent="0.3">
      <c r="A759" t="s">
        <v>37</v>
      </c>
      <c r="B759" t="s">
        <v>26</v>
      </c>
      <c r="C759" t="s">
        <v>25</v>
      </c>
      <c r="D759" t="s">
        <v>19</v>
      </c>
      <c r="E759" s="17">
        <v>10556.31</v>
      </c>
      <c r="F759" s="17">
        <v>4075.08</v>
      </c>
      <c r="G759" s="17">
        <v>4075.08</v>
      </c>
    </row>
    <row r="760" spans="1:7" x14ac:dyDescent="0.3">
      <c r="A760" t="s">
        <v>37</v>
      </c>
      <c r="B760" t="s">
        <v>26</v>
      </c>
      <c r="C760" t="s">
        <v>25</v>
      </c>
      <c r="D760" t="s">
        <v>20</v>
      </c>
      <c r="E760" s="17">
        <v>15200.2</v>
      </c>
      <c r="F760" s="17">
        <v>4908.9700000000012</v>
      </c>
      <c r="G760" s="17">
        <v>4908.97</v>
      </c>
    </row>
    <row r="761" spans="1:7" x14ac:dyDescent="0.3">
      <c r="A761" t="s">
        <v>37</v>
      </c>
      <c r="B761" t="s">
        <v>26</v>
      </c>
      <c r="C761" t="s">
        <v>25</v>
      </c>
      <c r="D761" t="s">
        <v>21</v>
      </c>
      <c r="E761" s="17">
        <v>11154.78</v>
      </c>
      <c r="F761" s="17">
        <v>3964.2</v>
      </c>
      <c r="G761" s="17">
        <v>3964.2</v>
      </c>
    </row>
    <row r="762" spans="1:7" x14ac:dyDescent="0.3">
      <c r="A762" t="s">
        <v>37</v>
      </c>
      <c r="B762" t="s">
        <v>27</v>
      </c>
      <c r="C762" t="s">
        <v>17</v>
      </c>
      <c r="D762" t="s">
        <v>18</v>
      </c>
      <c r="E762" s="17">
        <v>7741.07</v>
      </c>
      <c r="F762" s="17">
        <v>1630.51</v>
      </c>
      <c r="G762" s="17">
        <v>1630.51</v>
      </c>
    </row>
    <row r="763" spans="1:7" x14ac:dyDescent="0.3">
      <c r="A763" t="s">
        <v>37</v>
      </c>
      <c r="B763" t="s">
        <v>27</v>
      </c>
      <c r="C763" t="s">
        <v>17</v>
      </c>
      <c r="D763" t="s">
        <v>19</v>
      </c>
      <c r="E763" s="17">
        <v>18920.52</v>
      </c>
      <c r="F763" s="17">
        <v>5955.08</v>
      </c>
      <c r="G763" s="17">
        <v>5955.08</v>
      </c>
    </row>
    <row r="764" spans="1:7" x14ac:dyDescent="0.3">
      <c r="A764" t="s">
        <v>37</v>
      </c>
      <c r="B764" t="s">
        <v>27</v>
      </c>
      <c r="C764" t="s">
        <v>17</v>
      </c>
      <c r="D764" t="s">
        <v>20</v>
      </c>
      <c r="E764" s="17">
        <v>10900.71</v>
      </c>
      <c r="F764" s="17">
        <v>3615.24</v>
      </c>
      <c r="G764" s="17">
        <v>3615.24</v>
      </c>
    </row>
    <row r="765" spans="1:7" x14ac:dyDescent="0.3">
      <c r="A765" t="s">
        <v>37</v>
      </c>
      <c r="B765" t="s">
        <v>27</v>
      </c>
      <c r="C765" t="s">
        <v>17</v>
      </c>
      <c r="D765" t="s">
        <v>21</v>
      </c>
      <c r="E765" s="17">
        <v>8020.86</v>
      </c>
      <c r="F765" s="17">
        <v>2007.45</v>
      </c>
      <c r="G765" s="17">
        <v>2007.45</v>
      </c>
    </row>
    <row r="766" spans="1:7" x14ac:dyDescent="0.3">
      <c r="A766" t="s">
        <v>37</v>
      </c>
      <c r="B766" t="s">
        <v>27</v>
      </c>
      <c r="C766" t="s">
        <v>22</v>
      </c>
      <c r="D766" t="s">
        <v>18</v>
      </c>
      <c r="E766" s="17">
        <v>12264.28</v>
      </c>
      <c r="F766" s="17">
        <v>5506.89</v>
      </c>
      <c r="G766" s="17">
        <v>5506.89</v>
      </c>
    </row>
    <row r="767" spans="1:7" x14ac:dyDescent="0.3">
      <c r="A767" t="s">
        <v>37</v>
      </c>
      <c r="B767" t="s">
        <v>27</v>
      </c>
      <c r="C767" t="s">
        <v>22</v>
      </c>
      <c r="D767" t="s">
        <v>19</v>
      </c>
      <c r="E767" s="17">
        <v>8568.27</v>
      </c>
      <c r="F767" s="17">
        <v>3662.5</v>
      </c>
      <c r="G767" s="17">
        <v>3662.5</v>
      </c>
    </row>
    <row r="768" spans="1:7" x14ac:dyDescent="0.3">
      <c r="A768" t="s">
        <v>37</v>
      </c>
      <c r="B768" t="s">
        <v>27</v>
      </c>
      <c r="C768" t="s">
        <v>22</v>
      </c>
      <c r="D768" t="s">
        <v>20</v>
      </c>
      <c r="E768" s="17">
        <v>13297.6</v>
      </c>
      <c r="F768" s="17">
        <v>2833.8799999999992</v>
      </c>
      <c r="G768" s="17">
        <v>2833.88</v>
      </c>
    </row>
    <row r="769" spans="1:7" x14ac:dyDescent="0.3">
      <c r="A769" t="s">
        <v>37</v>
      </c>
      <c r="B769" t="s">
        <v>27</v>
      </c>
      <c r="C769" t="s">
        <v>22</v>
      </c>
      <c r="D769" t="s">
        <v>21</v>
      </c>
      <c r="E769" s="17">
        <v>21615</v>
      </c>
      <c r="F769" s="17">
        <v>6528.84</v>
      </c>
      <c r="G769" s="17">
        <v>6528.84</v>
      </c>
    </row>
    <row r="770" spans="1:7" x14ac:dyDescent="0.3">
      <c r="A770" t="s">
        <v>37</v>
      </c>
      <c r="B770" t="s">
        <v>27</v>
      </c>
      <c r="C770" t="s">
        <v>23</v>
      </c>
      <c r="D770" t="s">
        <v>18</v>
      </c>
      <c r="E770" s="17">
        <v>22669.62</v>
      </c>
      <c r="F770" s="17">
        <v>6804.9700000000012</v>
      </c>
      <c r="G770" s="17">
        <v>6804.97</v>
      </c>
    </row>
    <row r="771" spans="1:7" x14ac:dyDescent="0.3">
      <c r="A771" t="s">
        <v>37</v>
      </c>
      <c r="B771" t="s">
        <v>27</v>
      </c>
      <c r="C771" t="s">
        <v>23</v>
      </c>
      <c r="D771" t="s">
        <v>19</v>
      </c>
      <c r="E771" s="17">
        <v>4019.19</v>
      </c>
      <c r="F771" s="17">
        <v>1463.47</v>
      </c>
      <c r="G771" s="17">
        <v>1463.47</v>
      </c>
    </row>
    <row r="772" spans="1:7" x14ac:dyDescent="0.3">
      <c r="A772" t="s">
        <v>37</v>
      </c>
      <c r="B772" t="s">
        <v>27</v>
      </c>
      <c r="C772" t="s">
        <v>23</v>
      </c>
      <c r="D772" t="s">
        <v>20</v>
      </c>
      <c r="E772" s="17">
        <v>21446.99</v>
      </c>
      <c r="F772" s="17">
        <v>5711.09</v>
      </c>
      <c r="G772" s="17">
        <v>5711.09</v>
      </c>
    </row>
    <row r="773" spans="1:7" x14ac:dyDescent="0.3">
      <c r="A773" t="s">
        <v>37</v>
      </c>
      <c r="B773" t="s">
        <v>27</v>
      </c>
      <c r="C773" t="s">
        <v>23</v>
      </c>
      <c r="D773" t="s">
        <v>21</v>
      </c>
      <c r="E773" s="17">
        <v>9990.7800000000007</v>
      </c>
      <c r="F773" s="17">
        <v>1973.51</v>
      </c>
      <c r="G773" s="17">
        <v>1973.51</v>
      </c>
    </row>
    <row r="774" spans="1:7" x14ac:dyDescent="0.3">
      <c r="A774" t="s">
        <v>37</v>
      </c>
      <c r="B774" t="s">
        <v>27</v>
      </c>
      <c r="C774" t="s">
        <v>24</v>
      </c>
      <c r="D774" t="s">
        <v>18</v>
      </c>
      <c r="E774" s="17">
        <v>14469.94</v>
      </c>
      <c r="F774" s="17">
        <v>6086.92</v>
      </c>
      <c r="G774" s="17">
        <v>6086.92</v>
      </c>
    </row>
    <row r="775" spans="1:7" x14ac:dyDescent="0.3">
      <c r="A775" t="s">
        <v>37</v>
      </c>
      <c r="B775" t="s">
        <v>27</v>
      </c>
      <c r="C775" t="s">
        <v>24</v>
      </c>
      <c r="D775" t="s">
        <v>19</v>
      </c>
      <c r="E775" s="17">
        <v>21581.33</v>
      </c>
      <c r="F775" s="17">
        <v>8032.32</v>
      </c>
      <c r="G775" s="17">
        <v>8032.32</v>
      </c>
    </row>
    <row r="776" spans="1:7" x14ac:dyDescent="0.3">
      <c r="A776" t="s">
        <v>37</v>
      </c>
      <c r="B776" t="s">
        <v>27</v>
      </c>
      <c r="C776" t="s">
        <v>24</v>
      </c>
      <c r="D776" t="s">
        <v>20</v>
      </c>
      <c r="E776" s="17">
        <v>23328.46</v>
      </c>
      <c r="F776" s="17">
        <v>8215.7900000000009</v>
      </c>
      <c r="G776" s="17">
        <v>8215.7900000000009</v>
      </c>
    </row>
    <row r="777" spans="1:7" x14ac:dyDescent="0.3">
      <c r="A777" t="s">
        <v>37</v>
      </c>
      <c r="B777" t="s">
        <v>27</v>
      </c>
      <c r="C777" t="s">
        <v>24</v>
      </c>
      <c r="D777" t="s">
        <v>21</v>
      </c>
      <c r="E777" s="17">
        <v>20255.02</v>
      </c>
      <c r="F777" s="17">
        <v>6428.2200000000012</v>
      </c>
      <c r="G777" s="17">
        <v>6428.22</v>
      </c>
    </row>
    <row r="778" spans="1:7" x14ac:dyDescent="0.3">
      <c r="A778" t="s">
        <v>37</v>
      </c>
      <c r="B778" t="s">
        <v>27</v>
      </c>
      <c r="C778" t="s">
        <v>25</v>
      </c>
      <c r="D778" t="s">
        <v>18</v>
      </c>
      <c r="E778" s="17">
        <v>4791.34</v>
      </c>
      <c r="F778" s="17">
        <v>1122.44</v>
      </c>
      <c r="G778" s="17">
        <v>1122.44</v>
      </c>
    </row>
    <row r="779" spans="1:7" x14ac:dyDescent="0.3">
      <c r="A779" t="s">
        <v>37</v>
      </c>
      <c r="B779" t="s">
        <v>27</v>
      </c>
      <c r="C779" t="s">
        <v>25</v>
      </c>
      <c r="D779" t="s">
        <v>19</v>
      </c>
      <c r="E779" s="17">
        <v>5194.17</v>
      </c>
      <c r="F779" s="17">
        <v>2043.39</v>
      </c>
      <c r="G779" s="17">
        <v>2043.39</v>
      </c>
    </row>
    <row r="780" spans="1:7" x14ac:dyDescent="0.3">
      <c r="A780" t="s">
        <v>37</v>
      </c>
      <c r="B780" t="s">
        <v>27</v>
      </c>
      <c r="C780" t="s">
        <v>25</v>
      </c>
      <c r="D780" t="s">
        <v>20</v>
      </c>
      <c r="E780" s="17">
        <v>2604.5300000000002</v>
      </c>
      <c r="F780" s="17">
        <v>858.42000000000007</v>
      </c>
      <c r="G780" s="17">
        <v>858.42</v>
      </c>
    </row>
    <row r="781" spans="1:7" x14ac:dyDescent="0.3">
      <c r="A781" t="s">
        <v>37</v>
      </c>
      <c r="B781" t="s">
        <v>27</v>
      </c>
      <c r="C781" t="s">
        <v>25</v>
      </c>
      <c r="D781" t="s">
        <v>21</v>
      </c>
      <c r="E781" s="17">
        <v>10484.959999999999</v>
      </c>
      <c r="F781" s="17">
        <v>4162.41</v>
      </c>
      <c r="G781" s="17">
        <v>4162.41</v>
      </c>
    </row>
    <row r="782" spans="1:7" x14ac:dyDescent="0.3">
      <c r="A782" t="s">
        <v>37</v>
      </c>
      <c r="B782" t="s">
        <v>28</v>
      </c>
      <c r="C782" t="s">
        <v>17</v>
      </c>
      <c r="D782" t="s">
        <v>18</v>
      </c>
      <c r="E782" s="17">
        <v>14687.88</v>
      </c>
      <c r="F782" s="17">
        <v>5070.6400000000012</v>
      </c>
      <c r="G782" s="17">
        <v>5070.6400000000003</v>
      </c>
    </row>
    <row r="783" spans="1:7" x14ac:dyDescent="0.3">
      <c r="A783" t="s">
        <v>37</v>
      </c>
      <c r="B783" t="s">
        <v>28</v>
      </c>
      <c r="C783" t="s">
        <v>17</v>
      </c>
      <c r="D783" t="s">
        <v>19</v>
      </c>
      <c r="E783" s="17">
        <v>3982.96</v>
      </c>
      <c r="F783" s="17">
        <v>1049.54</v>
      </c>
      <c r="G783" s="17">
        <v>1049.54</v>
      </c>
    </row>
    <row r="784" spans="1:7" x14ac:dyDescent="0.3">
      <c r="A784" t="s">
        <v>37</v>
      </c>
      <c r="B784" t="s">
        <v>28</v>
      </c>
      <c r="C784" t="s">
        <v>17</v>
      </c>
      <c r="D784" t="s">
        <v>20</v>
      </c>
      <c r="E784" s="17">
        <v>24990.69</v>
      </c>
      <c r="F784" s="17">
        <v>9348.89</v>
      </c>
      <c r="G784" s="17">
        <v>9348.89</v>
      </c>
    </row>
    <row r="785" spans="1:7" x14ac:dyDescent="0.3">
      <c r="A785" t="s">
        <v>37</v>
      </c>
      <c r="B785" t="s">
        <v>28</v>
      </c>
      <c r="C785" t="s">
        <v>17</v>
      </c>
      <c r="D785" t="s">
        <v>21</v>
      </c>
      <c r="E785" s="17">
        <v>14091</v>
      </c>
      <c r="F785" s="17">
        <v>5462.7200000000012</v>
      </c>
      <c r="G785" s="17">
        <v>5462.72</v>
      </c>
    </row>
    <row r="786" spans="1:7" x14ac:dyDescent="0.3">
      <c r="A786" t="s">
        <v>37</v>
      </c>
      <c r="B786" t="s">
        <v>28</v>
      </c>
      <c r="C786" t="s">
        <v>22</v>
      </c>
      <c r="D786" t="s">
        <v>18</v>
      </c>
      <c r="E786" s="17">
        <v>20936.810000000001</v>
      </c>
      <c r="F786" s="17">
        <v>4185.5299999999988</v>
      </c>
      <c r="G786" s="17">
        <v>4185.53</v>
      </c>
    </row>
    <row r="787" spans="1:7" x14ac:dyDescent="0.3">
      <c r="A787" t="s">
        <v>37</v>
      </c>
      <c r="B787" t="s">
        <v>28</v>
      </c>
      <c r="C787" t="s">
        <v>22</v>
      </c>
      <c r="D787" t="s">
        <v>19</v>
      </c>
      <c r="E787" s="17">
        <v>24364.73</v>
      </c>
      <c r="F787" s="17">
        <v>8611.26</v>
      </c>
      <c r="G787" s="17">
        <v>8611.26</v>
      </c>
    </row>
    <row r="788" spans="1:7" x14ac:dyDescent="0.3">
      <c r="A788" t="s">
        <v>37</v>
      </c>
      <c r="B788" t="s">
        <v>28</v>
      </c>
      <c r="C788" t="s">
        <v>22</v>
      </c>
      <c r="D788" t="s">
        <v>20</v>
      </c>
      <c r="E788" s="17">
        <v>12349.41</v>
      </c>
      <c r="F788" s="17">
        <v>4490.6099999999997</v>
      </c>
      <c r="G788" s="17">
        <v>4490.6099999999997</v>
      </c>
    </row>
    <row r="789" spans="1:7" x14ac:dyDescent="0.3">
      <c r="A789" t="s">
        <v>37</v>
      </c>
      <c r="B789" t="s">
        <v>28</v>
      </c>
      <c r="C789" t="s">
        <v>22</v>
      </c>
      <c r="D789" t="s">
        <v>21</v>
      </c>
      <c r="E789" s="17">
        <v>9923.84</v>
      </c>
      <c r="F789" s="17">
        <v>4138.7299999999996</v>
      </c>
      <c r="G789" s="17">
        <v>4138.7299999999996</v>
      </c>
    </row>
    <row r="790" spans="1:7" x14ac:dyDescent="0.3">
      <c r="A790" t="s">
        <v>37</v>
      </c>
      <c r="B790" t="s">
        <v>28</v>
      </c>
      <c r="C790" t="s">
        <v>23</v>
      </c>
      <c r="D790" t="s">
        <v>18</v>
      </c>
      <c r="E790" s="17">
        <v>19946.05</v>
      </c>
      <c r="F790" s="17">
        <v>7035.8600000000006</v>
      </c>
      <c r="G790" s="17">
        <v>7035.86</v>
      </c>
    </row>
    <row r="791" spans="1:7" x14ac:dyDescent="0.3">
      <c r="A791" t="s">
        <v>37</v>
      </c>
      <c r="B791" t="s">
        <v>28</v>
      </c>
      <c r="C791" t="s">
        <v>23</v>
      </c>
      <c r="D791" t="s">
        <v>19</v>
      </c>
      <c r="E791" s="17">
        <v>6185.15</v>
      </c>
      <c r="F791" s="17">
        <v>2726.98</v>
      </c>
      <c r="G791" s="17">
        <v>2726.98</v>
      </c>
    </row>
    <row r="792" spans="1:7" x14ac:dyDescent="0.3">
      <c r="A792" t="s">
        <v>37</v>
      </c>
      <c r="B792" t="s">
        <v>28</v>
      </c>
      <c r="C792" t="s">
        <v>23</v>
      </c>
      <c r="D792" t="s">
        <v>20</v>
      </c>
      <c r="E792" s="17">
        <v>11950.22</v>
      </c>
      <c r="F792" s="17">
        <v>5089.51</v>
      </c>
      <c r="G792" s="17">
        <v>5089.51</v>
      </c>
    </row>
    <row r="793" spans="1:7" x14ac:dyDescent="0.3">
      <c r="A793" t="s">
        <v>37</v>
      </c>
      <c r="B793" t="s">
        <v>28</v>
      </c>
      <c r="C793" t="s">
        <v>23</v>
      </c>
      <c r="D793" t="s">
        <v>21</v>
      </c>
      <c r="E793" s="17">
        <v>3274.5</v>
      </c>
      <c r="F793" s="17">
        <v>699.17999999999984</v>
      </c>
      <c r="G793" s="17">
        <v>699.18</v>
      </c>
    </row>
    <row r="794" spans="1:7" x14ac:dyDescent="0.3">
      <c r="A794" t="s">
        <v>37</v>
      </c>
      <c r="B794" t="s">
        <v>28</v>
      </c>
      <c r="C794" t="s">
        <v>24</v>
      </c>
      <c r="D794" t="s">
        <v>18</v>
      </c>
      <c r="E794" s="17">
        <v>5519.36</v>
      </c>
      <c r="F794" s="17">
        <v>1238.8599999999999</v>
      </c>
      <c r="G794" s="17">
        <v>1238.8599999999999</v>
      </c>
    </row>
    <row r="795" spans="1:7" x14ac:dyDescent="0.3">
      <c r="A795" t="s">
        <v>37</v>
      </c>
      <c r="B795" t="s">
        <v>28</v>
      </c>
      <c r="C795" t="s">
        <v>24</v>
      </c>
      <c r="D795" t="s">
        <v>19</v>
      </c>
      <c r="E795" s="17">
        <v>9421.2000000000007</v>
      </c>
      <c r="F795" s="17">
        <v>3500.16</v>
      </c>
      <c r="G795" s="17">
        <v>3500.16</v>
      </c>
    </row>
    <row r="796" spans="1:7" x14ac:dyDescent="0.3">
      <c r="A796" t="s">
        <v>37</v>
      </c>
      <c r="B796" t="s">
        <v>28</v>
      </c>
      <c r="C796" t="s">
        <v>24</v>
      </c>
      <c r="D796" t="s">
        <v>20</v>
      </c>
      <c r="E796" s="17">
        <v>9958.5300000000007</v>
      </c>
      <c r="F796" s="17">
        <v>4322.4399999999996</v>
      </c>
      <c r="G796" s="17">
        <v>4322.4399999999996</v>
      </c>
    </row>
    <row r="797" spans="1:7" x14ac:dyDescent="0.3">
      <c r="A797" t="s">
        <v>37</v>
      </c>
      <c r="B797" t="s">
        <v>28</v>
      </c>
      <c r="C797" t="s">
        <v>24</v>
      </c>
      <c r="D797" t="s">
        <v>21</v>
      </c>
      <c r="E797" s="17">
        <v>22583.3</v>
      </c>
      <c r="F797" s="17">
        <v>9223.07</v>
      </c>
      <c r="G797" s="17">
        <v>9223.07</v>
      </c>
    </row>
    <row r="798" spans="1:7" x14ac:dyDescent="0.3">
      <c r="A798" t="s">
        <v>37</v>
      </c>
      <c r="B798" t="s">
        <v>28</v>
      </c>
      <c r="C798" t="s">
        <v>25</v>
      </c>
      <c r="D798" t="s">
        <v>18</v>
      </c>
      <c r="E798" s="17">
        <v>7763.92</v>
      </c>
      <c r="F798" s="17">
        <v>2728.75</v>
      </c>
      <c r="G798" s="17">
        <v>2728.75</v>
      </c>
    </row>
    <row r="799" spans="1:7" x14ac:dyDescent="0.3">
      <c r="A799" t="s">
        <v>37</v>
      </c>
      <c r="B799" t="s">
        <v>28</v>
      </c>
      <c r="C799" t="s">
        <v>25</v>
      </c>
      <c r="D799" t="s">
        <v>19</v>
      </c>
      <c r="E799" s="17">
        <v>14669.35</v>
      </c>
      <c r="F799" s="17">
        <v>3136.25</v>
      </c>
      <c r="G799" s="17">
        <v>3136.25</v>
      </c>
    </row>
    <row r="800" spans="1:7" x14ac:dyDescent="0.3">
      <c r="A800" t="s">
        <v>37</v>
      </c>
      <c r="B800" t="s">
        <v>28</v>
      </c>
      <c r="C800" t="s">
        <v>25</v>
      </c>
      <c r="D800" t="s">
        <v>20</v>
      </c>
      <c r="E800" s="17">
        <v>8964.9699999999993</v>
      </c>
      <c r="F800" s="17">
        <v>2905</v>
      </c>
      <c r="G800" s="17">
        <v>2905</v>
      </c>
    </row>
    <row r="801" spans="1:7" x14ac:dyDescent="0.3">
      <c r="A801" t="s">
        <v>37</v>
      </c>
      <c r="B801" t="s">
        <v>28</v>
      </c>
      <c r="C801" t="s">
        <v>25</v>
      </c>
      <c r="D801" t="s">
        <v>21</v>
      </c>
      <c r="E801" s="17">
        <v>13559.18</v>
      </c>
      <c r="F801" s="17">
        <v>3058.02</v>
      </c>
      <c r="G801" s="17">
        <v>3058.02</v>
      </c>
    </row>
    <row r="802" spans="1:7" x14ac:dyDescent="0.3">
      <c r="A802" t="s">
        <v>38</v>
      </c>
      <c r="B802" t="s">
        <v>16</v>
      </c>
      <c r="C802" t="s">
        <v>17</v>
      </c>
      <c r="D802" t="s">
        <v>18</v>
      </c>
      <c r="E802" s="17">
        <v>23656.959999999999</v>
      </c>
      <c r="F802" s="17">
        <v>5243.1500000000005</v>
      </c>
      <c r="G802" s="17">
        <v>5243.15</v>
      </c>
    </row>
    <row r="803" spans="1:7" x14ac:dyDescent="0.3">
      <c r="A803" t="s">
        <v>38</v>
      </c>
      <c r="B803" t="s">
        <v>16</v>
      </c>
      <c r="C803" t="s">
        <v>17</v>
      </c>
      <c r="D803" t="s">
        <v>19</v>
      </c>
      <c r="E803" s="17">
        <v>17150.86</v>
      </c>
      <c r="F803" s="17">
        <v>6424.2099999999991</v>
      </c>
      <c r="G803" s="17">
        <v>6424.21</v>
      </c>
    </row>
    <row r="804" spans="1:7" x14ac:dyDescent="0.3">
      <c r="A804" t="s">
        <v>38</v>
      </c>
      <c r="B804" t="s">
        <v>16</v>
      </c>
      <c r="C804" t="s">
        <v>17</v>
      </c>
      <c r="D804" t="s">
        <v>20</v>
      </c>
      <c r="E804" s="17">
        <v>15918.19</v>
      </c>
      <c r="F804" s="17">
        <v>6486.3900000000012</v>
      </c>
      <c r="G804" s="17">
        <v>6486.39</v>
      </c>
    </row>
    <row r="805" spans="1:7" x14ac:dyDescent="0.3">
      <c r="A805" t="s">
        <v>38</v>
      </c>
      <c r="B805" t="s">
        <v>16</v>
      </c>
      <c r="C805" t="s">
        <v>17</v>
      </c>
      <c r="D805" t="s">
        <v>21</v>
      </c>
      <c r="E805" s="17">
        <v>14963.21</v>
      </c>
      <c r="F805" s="17">
        <v>6027.3899999999994</v>
      </c>
      <c r="G805" s="17">
        <v>6027.39</v>
      </c>
    </row>
    <row r="806" spans="1:7" x14ac:dyDescent="0.3">
      <c r="A806" t="s">
        <v>38</v>
      </c>
      <c r="B806" t="s">
        <v>16</v>
      </c>
      <c r="C806" t="s">
        <v>22</v>
      </c>
      <c r="D806" t="s">
        <v>18</v>
      </c>
      <c r="E806" s="17">
        <v>2652.59</v>
      </c>
      <c r="F806" s="17">
        <v>510.02999999999969</v>
      </c>
      <c r="G806" s="17">
        <v>510.03</v>
      </c>
    </row>
    <row r="807" spans="1:7" x14ac:dyDescent="0.3">
      <c r="A807" t="s">
        <v>38</v>
      </c>
      <c r="B807" t="s">
        <v>16</v>
      </c>
      <c r="C807" t="s">
        <v>22</v>
      </c>
      <c r="D807" t="s">
        <v>19</v>
      </c>
      <c r="E807" s="17">
        <v>16753.439999999999</v>
      </c>
      <c r="F807" s="17">
        <v>5624.6</v>
      </c>
      <c r="G807" s="17">
        <v>5624.6</v>
      </c>
    </row>
    <row r="808" spans="1:7" x14ac:dyDescent="0.3">
      <c r="A808" t="s">
        <v>38</v>
      </c>
      <c r="B808" t="s">
        <v>16</v>
      </c>
      <c r="C808" t="s">
        <v>22</v>
      </c>
      <c r="D808" t="s">
        <v>20</v>
      </c>
      <c r="E808" s="17">
        <v>16975.990000000002</v>
      </c>
      <c r="F808" s="17">
        <v>6571.0499999999993</v>
      </c>
      <c r="G808" s="17">
        <v>6571.05</v>
      </c>
    </row>
    <row r="809" spans="1:7" x14ac:dyDescent="0.3">
      <c r="A809" t="s">
        <v>38</v>
      </c>
      <c r="B809" t="s">
        <v>16</v>
      </c>
      <c r="C809" t="s">
        <v>22</v>
      </c>
      <c r="D809" t="s">
        <v>21</v>
      </c>
      <c r="E809" s="17">
        <v>11581.5</v>
      </c>
      <c r="F809" s="17">
        <v>4082.8</v>
      </c>
      <c r="G809" s="17">
        <v>4082.8</v>
      </c>
    </row>
    <row r="810" spans="1:7" x14ac:dyDescent="0.3">
      <c r="A810" t="s">
        <v>38</v>
      </c>
      <c r="B810" t="s">
        <v>16</v>
      </c>
      <c r="C810" t="s">
        <v>23</v>
      </c>
      <c r="D810" t="s">
        <v>18</v>
      </c>
      <c r="E810" s="17">
        <v>13454.88</v>
      </c>
      <c r="F810" s="17">
        <v>4700.25</v>
      </c>
      <c r="G810" s="17">
        <v>4700.25</v>
      </c>
    </row>
    <row r="811" spans="1:7" x14ac:dyDescent="0.3">
      <c r="A811" t="s">
        <v>38</v>
      </c>
      <c r="B811" t="s">
        <v>16</v>
      </c>
      <c r="C811" t="s">
        <v>23</v>
      </c>
      <c r="D811" t="s">
        <v>19</v>
      </c>
      <c r="E811" s="17">
        <v>8662.4500000000007</v>
      </c>
      <c r="F811" s="17">
        <v>3796.71</v>
      </c>
      <c r="G811" s="17">
        <v>3796.71</v>
      </c>
    </row>
    <row r="812" spans="1:7" x14ac:dyDescent="0.3">
      <c r="A812" t="s">
        <v>38</v>
      </c>
      <c r="B812" t="s">
        <v>16</v>
      </c>
      <c r="C812" t="s">
        <v>23</v>
      </c>
      <c r="D812" t="s">
        <v>20</v>
      </c>
      <c r="E812" s="17">
        <v>13107.73</v>
      </c>
      <c r="F812" s="17">
        <v>5207.25</v>
      </c>
      <c r="G812" s="17">
        <v>5207.25</v>
      </c>
    </row>
    <row r="813" spans="1:7" x14ac:dyDescent="0.3">
      <c r="A813" t="s">
        <v>38</v>
      </c>
      <c r="B813" t="s">
        <v>16</v>
      </c>
      <c r="C813" t="s">
        <v>23</v>
      </c>
      <c r="D813" t="s">
        <v>21</v>
      </c>
      <c r="E813" s="17">
        <v>17754.79</v>
      </c>
      <c r="F813" s="17">
        <v>4621.7000000000007</v>
      </c>
      <c r="G813" s="17">
        <v>4621.7</v>
      </c>
    </row>
    <row r="814" spans="1:7" x14ac:dyDescent="0.3">
      <c r="A814" t="s">
        <v>38</v>
      </c>
      <c r="B814" t="s">
        <v>16</v>
      </c>
      <c r="C814" t="s">
        <v>24</v>
      </c>
      <c r="D814" t="s">
        <v>18</v>
      </c>
      <c r="E814" s="17">
        <v>3678.38</v>
      </c>
      <c r="F814" s="17">
        <v>721.61000000000013</v>
      </c>
      <c r="G814" s="17">
        <v>721.61</v>
      </c>
    </row>
    <row r="815" spans="1:7" x14ac:dyDescent="0.3">
      <c r="A815" t="s">
        <v>38</v>
      </c>
      <c r="B815" t="s">
        <v>16</v>
      </c>
      <c r="C815" t="s">
        <v>24</v>
      </c>
      <c r="D815" t="s">
        <v>19</v>
      </c>
      <c r="E815" s="17">
        <v>12110.93</v>
      </c>
      <c r="F815" s="17">
        <v>3763.440000000001</v>
      </c>
      <c r="G815" s="17">
        <v>3763.44</v>
      </c>
    </row>
    <row r="816" spans="1:7" x14ac:dyDescent="0.3">
      <c r="A816" t="s">
        <v>38</v>
      </c>
      <c r="B816" t="s">
        <v>16</v>
      </c>
      <c r="C816" t="s">
        <v>24</v>
      </c>
      <c r="D816" t="s">
        <v>20</v>
      </c>
      <c r="E816" s="17">
        <v>6692.53</v>
      </c>
      <c r="F816" s="17">
        <v>2300.88</v>
      </c>
      <c r="G816" s="17">
        <v>2300.88</v>
      </c>
    </row>
    <row r="817" spans="1:7" x14ac:dyDescent="0.3">
      <c r="A817" t="s">
        <v>38</v>
      </c>
      <c r="B817" t="s">
        <v>16</v>
      </c>
      <c r="C817" t="s">
        <v>24</v>
      </c>
      <c r="D817" t="s">
        <v>21</v>
      </c>
      <c r="E817" s="17">
        <v>9189.4</v>
      </c>
      <c r="F817" s="17">
        <v>3436.45</v>
      </c>
      <c r="G817" s="17">
        <v>3436.45</v>
      </c>
    </row>
    <row r="818" spans="1:7" x14ac:dyDescent="0.3">
      <c r="A818" t="s">
        <v>38</v>
      </c>
      <c r="B818" t="s">
        <v>16</v>
      </c>
      <c r="C818" t="s">
        <v>25</v>
      </c>
      <c r="D818" t="s">
        <v>18</v>
      </c>
      <c r="E818" s="17">
        <v>18886.59</v>
      </c>
      <c r="F818" s="17">
        <v>7789.02</v>
      </c>
      <c r="G818" s="17">
        <v>7789.02</v>
      </c>
    </row>
    <row r="819" spans="1:7" x14ac:dyDescent="0.3">
      <c r="A819" t="s">
        <v>38</v>
      </c>
      <c r="B819" t="s">
        <v>16</v>
      </c>
      <c r="C819" t="s">
        <v>25</v>
      </c>
      <c r="D819" t="s">
        <v>19</v>
      </c>
      <c r="E819" s="17">
        <v>24433.599999999999</v>
      </c>
      <c r="F819" s="17">
        <v>5260.7200000000012</v>
      </c>
      <c r="G819" s="17">
        <v>5260.72</v>
      </c>
    </row>
    <row r="820" spans="1:7" x14ac:dyDescent="0.3">
      <c r="A820" t="s">
        <v>38</v>
      </c>
      <c r="B820" t="s">
        <v>16</v>
      </c>
      <c r="C820" t="s">
        <v>25</v>
      </c>
      <c r="D820" t="s">
        <v>20</v>
      </c>
      <c r="E820" s="17">
        <v>10522.42</v>
      </c>
      <c r="F820" s="17">
        <v>3489.7199999999989</v>
      </c>
      <c r="G820" s="17">
        <v>3489.72</v>
      </c>
    </row>
    <row r="821" spans="1:7" x14ac:dyDescent="0.3">
      <c r="A821" t="s">
        <v>38</v>
      </c>
      <c r="B821" t="s">
        <v>16</v>
      </c>
      <c r="C821" t="s">
        <v>25</v>
      </c>
      <c r="D821" t="s">
        <v>21</v>
      </c>
      <c r="E821" s="17">
        <v>9339.67</v>
      </c>
      <c r="F821" s="17">
        <v>2857.45</v>
      </c>
      <c r="G821" s="17">
        <v>2857.45</v>
      </c>
    </row>
    <row r="822" spans="1:7" x14ac:dyDescent="0.3">
      <c r="A822" t="s">
        <v>38</v>
      </c>
      <c r="B822" t="s">
        <v>26</v>
      </c>
      <c r="C822" t="s">
        <v>17</v>
      </c>
      <c r="D822" t="s">
        <v>18</v>
      </c>
      <c r="E822" s="17">
        <v>8151.85</v>
      </c>
      <c r="F822" s="17">
        <v>2013</v>
      </c>
      <c r="G822" s="17">
        <v>2013</v>
      </c>
    </row>
    <row r="823" spans="1:7" x14ac:dyDescent="0.3">
      <c r="A823" t="s">
        <v>38</v>
      </c>
      <c r="B823" t="s">
        <v>26</v>
      </c>
      <c r="C823" t="s">
        <v>17</v>
      </c>
      <c r="D823" t="s">
        <v>19</v>
      </c>
      <c r="E823" s="17">
        <v>4226.67</v>
      </c>
      <c r="F823" s="17">
        <v>1091.99</v>
      </c>
      <c r="G823" s="17">
        <v>1091.99</v>
      </c>
    </row>
    <row r="824" spans="1:7" x14ac:dyDescent="0.3">
      <c r="A824" t="s">
        <v>38</v>
      </c>
      <c r="B824" t="s">
        <v>26</v>
      </c>
      <c r="C824" t="s">
        <v>17</v>
      </c>
      <c r="D824" t="s">
        <v>20</v>
      </c>
      <c r="E824" s="17">
        <v>10835.45</v>
      </c>
      <c r="F824" s="17">
        <v>3750.71</v>
      </c>
      <c r="G824" s="17">
        <v>3750.71</v>
      </c>
    </row>
    <row r="825" spans="1:7" x14ac:dyDescent="0.3">
      <c r="A825" t="s">
        <v>38</v>
      </c>
      <c r="B825" t="s">
        <v>26</v>
      </c>
      <c r="C825" t="s">
        <v>17</v>
      </c>
      <c r="D825" t="s">
        <v>21</v>
      </c>
      <c r="E825" s="17">
        <v>7710.22</v>
      </c>
      <c r="F825" s="17">
        <v>3189.2</v>
      </c>
      <c r="G825" s="17">
        <v>3189.2</v>
      </c>
    </row>
    <row r="826" spans="1:7" x14ac:dyDescent="0.3">
      <c r="A826" t="s">
        <v>38</v>
      </c>
      <c r="B826" t="s">
        <v>26</v>
      </c>
      <c r="C826" t="s">
        <v>22</v>
      </c>
      <c r="D826" t="s">
        <v>18</v>
      </c>
      <c r="E826" s="17">
        <v>5673.09</v>
      </c>
      <c r="F826" s="17">
        <v>1522.7</v>
      </c>
      <c r="G826" s="17">
        <v>1522.7</v>
      </c>
    </row>
    <row r="827" spans="1:7" x14ac:dyDescent="0.3">
      <c r="A827" t="s">
        <v>38</v>
      </c>
      <c r="B827" t="s">
        <v>26</v>
      </c>
      <c r="C827" t="s">
        <v>22</v>
      </c>
      <c r="D827" t="s">
        <v>19</v>
      </c>
      <c r="E827" s="17">
        <v>15286.8</v>
      </c>
      <c r="F827" s="17">
        <v>4042.33</v>
      </c>
      <c r="G827" s="17">
        <v>4042.33</v>
      </c>
    </row>
    <row r="828" spans="1:7" x14ac:dyDescent="0.3">
      <c r="A828" t="s">
        <v>38</v>
      </c>
      <c r="B828" t="s">
        <v>26</v>
      </c>
      <c r="C828" t="s">
        <v>22</v>
      </c>
      <c r="D828" t="s">
        <v>20</v>
      </c>
      <c r="E828" s="17">
        <v>19551.79</v>
      </c>
      <c r="F828" s="17">
        <v>6149.66</v>
      </c>
      <c r="G828" s="17">
        <v>6149.66</v>
      </c>
    </row>
    <row r="829" spans="1:7" x14ac:dyDescent="0.3">
      <c r="A829" t="s">
        <v>38</v>
      </c>
      <c r="B829" t="s">
        <v>26</v>
      </c>
      <c r="C829" t="s">
        <v>22</v>
      </c>
      <c r="D829" t="s">
        <v>21</v>
      </c>
      <c r="E829" s="17">
        <v>13838.67</v>
      </c>
      <c r="F829" s="17">
        <v>4354.5500000000011</v>
      </c>
      <c r="G829" s="17">
        <v>4354.55</v>
      </c>
    </row>
    <row r="830" spans="1:7" x14ac:dyDescent="0.3">
      <c r="A830" t="s">
        <v>38</v>
      </c>
      <c r="B830" t="s">
        <v>26</v>
      </c>
      <c r="C830" t="s">
        <v>23</v>
      </c>
      <c r="D830" t="s">
        <v>18</v>
      </c>
      <c r="E830" s="17">
        <v>9096.43</v>
      </c>
      <c r="F830" s="17">
        <v>1694.28</v>
      </c>
      <c r="G830" s="17">
        <v>1694.28</v>
      </c>
    </row>
    <row r="831" spans="1:7" x14ac:dyDescent="0.3">
      <c r="A831" t="s">
        <v>38</v>
      </c>
      <c r="B831" t="s">
        <v>26</v>
      </c>
      <c r="C831" t="s">
        <v>23</v>
      </c>
      <c r="D831" t="s">
        <v>19</v>
      </c>
      <c r="E831" s="17">
        <v>23740.35</v>
      </c>
      <c r="F831" s="17">
        <v>7513.1100000000006</v>
      </c>
      <c r="G831" s="17">
        <v>7513.11</v>
      </c>
    </row>
    <row r="832" spans="1:7" x14ac:dyDescent="0.3">
      <c r="A832" t="s">
        <v>38</v>
      </c>
      <c r="B832" t="s">
        <v>26</v>
      </c>
      <c r="C832" t="s">
        <v>23</v>
      </c>
      <c r="D832" t="s">
        <v>20</v>
      </c>
      <c r="E832" s="17">
        <v>24233.79</v>
      </c>
      <c r="F832" s="17">
        <v>5769.7999999999993</v>
      </c>
      <c r="G832" s="17">
        <v>5769.8</v>
      </c>
    </row>
    <row r="833" spans="1:7" x14ac:dyDescent="0.3">
      <c r="A833" t="s">
        <v>38</v>
      </c>
      <c r="B833" t="s">
        <v>26</v>
      </c>
      <c r="C833" t="s">
        <v>23</v>
      </c>
      <c r="D833" t="s">
        <v>21</v>
      </c>
      <c r="E833" s="17">
        <v>10116.59</v>
      </c>
      <c r="F833" s="17">
        <v>1959.04</v>
      </c>
      <c r="G833" s="17">
        <v>1959.04</v>
      </c>
    </row>
    <row r="834" spans="1:7" x14ac:dyDescent="0.3">
      <c r="A834" t="s">
        <v>38</v>
      </c>
      <c r="B834" t="s">
        <v>26</v>
      </c>
      <c r="C834" t="s">
        <v>24</v>
      </c>
      <c r="D834" t="s">
        <v>18</v>
      </c>
      <c r="E834" s="17">
        <v>13382.57</v>
      </c>
      <c r="F834" s="17">
        <v>5597.01</v>
      </c>
      <c r="G834" s="17">
        <v>5597.01</v>
      </c>
    </row>
    <row r="835" spans="1:7" x14ac:dyDescent="0.3">
      <c r="A835" t="s">
        <v>38</v>
      </c>
      <c r="B835" t="s">
        <v>26</v>
      </c>
      <c r="C835" t="s">
        <v>24</v>
      </c>
      <c r="D835" t="s">
        <v>19</v>
      </c>
      <c r="E835" s="17">
        <v>17047.98</v>
      </c>
      <c r="F835" s="17">
        <v>5234.7299999999996</v>
      </c>
      <c r="G835" s="17">
        <v>5234.7299999999996</v>
      </c>
    </row>
    <row r="836" spans="1:7" x14ac:dyDescent="0.3">
      <c r="A836" t="s">
        <v>38</v>
      </c>
      <c r="B836" t="s">
        <v>26</v>
      </c>
      <c r="C836" t="s">
        <v>24</v>
      </c>
      <c r="D836" t="s">
        <v>20</v>
      </c>
      <c r="E836" s="17">
        <v>14343.89</v>
      </c>
      <c r="F836" s="17">
        <v>5862.869999999999</v>
      </c>
      <c r="G836" s="17">
        <v>5862.87</v>
      </c>
    </row>
    <row r="837" spans="1:7" x14ac:dyDescent="0.3">
      <c r="A837" t="s">
        <v>38</v>
      </c>
      <c r="B837" t="s">
        <v>26</v>
      </c>
      <c r="C837" t="s">
        <v>24</v>
      </c>
      <c r="D837" t="s">
        <v>21</v>
      </c>
      <c r="E837" s="17">
        <v>11911.34</v>
      </c>
      <c r="F837" s="17">
        <v>4982.07</v>
      </c>
      <c r="G837" s="17">
        <v>4982.07</v>
      </c>
    </row>
    <row r="838" spans="1:7" x14ac:dyDescent="0.3">
      <c r="A838" t="s">
        <v>38</v>
      </c>
      <c r="B838" t="s">
        <v>26</v>
      </c>
      <c r="C838" t="s">
        <v>25</v>
      </c>
      <c r="D838" t="s">
        <v>18</v>
      </c>
      <c r="E838" s="17">
        <v>18732.689999999999</v>
      </c>
      <c r="F838" s="17">
        <v>7235.34</v>
      </c>
      <c r="G838" s="17">
        <v>7235.34</v>
      </c>
    </row>
    <row r="839" spans="1:7" x14ac:dyDescent="0.3">
      <c r="A839" t="s">
        <v>38</v>
      </c>
      <c r="B839" t="s">
        <v>26</v>
      </c>
      <c r="C839" t="s">
        <v>25</v>
      </c>
      <c r="D839" t="s">
        <v>19</v>
      </c>
      <c r="E839" s="17">
        <v>10416.56</v>
      </c>
      <c r="F839" s="17">
        <v>3001.610000000001</v>
      </c>
      <c r="G839" s="17">
        <v>3001.61</v>
      </c>
    </row>
    <row r="840" spans="1:7" x14ac:dyDescent="0.3">
      <c r="A840" t="s">
        <v>38</v>
      </c>
      <c r="B840" t="s">
        <v>26</v>
      </c>
      <c r="C840" t="s">
        <v>25</v>
      </c>
      <c r="D840" t="s">
        <v>20</v>
      </c>
      <c r="E840" s="17">
        <v>15116.48</v>
      </c>
      <c r="F840" s="17">
        <v>3515.440000000001</v>
      </c>
      <c r="G840" s="17">
        <v>3515.44</v>
      </c>
    </row>
    <row r="841" spans="1:7" x14ac:dyDescent="0.3">
      <c r="A841" t="s">
        <v>38</v>
      </c>
      <c r="B841" t="s">
        <v>26</v>
      </c>
      <c r="C841" t="s">
        <v>25</v>
      </c>
      <c r="D841" t="s">
        <v>21</v>
      </c>
      <c r="E841" s="17">
        <v>14724.13</v>
      </c>
      <c r="F841" s="17">
        <v>2942.67</v>
      </c>
      <c r="G841" s="17">
        <v>2942.67</v>
      </c>
    </row>
    <row r="842" spans="1:7" x14ac:dyDescent="0.3">
      <c r="A842" t="s">
        <v>38</v>
      </c>
      <c r="B842" t="s">
        <v>27</v>
      </c>
      <c r="C842" t="s">
        <v>17</v>
      </c>
      <c r="D842" t="s">
        <v>18</v>
      </c>
      <c r="E842" s="17">
        <v>13597.88</v>
      </c>
      <c r="F842" s="17">
        <v>5254.07</v>
      </c>
      <c r="G842" s="17">
        <v>5254.07</v>
      </c>
    </row>
    <row r="843" spans="1:7" x14ac:dyDescent="0.3">
      <c r="A843" t="s">
        <v>38</v>
      </c>
      <c r="B843" t="s">
        <v>27</v>
      </c>
      <c r="C843" t="s">
        <v>17</v>
      </c>
      <c r="D843" t="s">
        <v>19</v>
      </c>
      <c r="E843" s="17">
        <v>8433.58</v>
      </c>
      <c r="F843" s="17">
        <v>3770.27</v>
      </c>
      <c r="G843" s="17">
        <v>3770.27</v>
      </c>
    </row>
    <row r="844" spans="1:7" x14ac:dyDescent="0.3">
      <c r="A844" t="s">
        <v>38</v>
      </c>
      <c r="B844" t="s">
        <v>27</v>
      </c>
      <c r="C844" t="s">
        <v>17</v>
      </c>
      <c r="D844" t="s">
        <v>20</v>
      </c>
      <c r="E844" s="17">
        <v>17649.169999999998</v>
      </c>
      <c r="F844" s="17">
        <v>3743.02</v>
      </c>
      <c r="G844" s="17">
        <v>3743.02</v>
      </c>
    </row>
    <row r="845" spans="1:7" x14ac:dyDescent="0.3">
      <c r="A845" t="s">
        <v>38</v>
      </c>
      <c r="B845" t="s">
        <v>27</v>
      </c>
      <c r="C845" t="s">
        <v>17</v>
      </c>
      <c r="D845" t="s">
        <v>21</v>
      </c>
      <c r="E845" s="17">
        <v>24426.9</v>
      </c>
      <c r="F845" s="17">
        <v>6994.739999999998</v>
      </c>
      <c r="G845" s="17">
        <v>6994.74</v>
      </c>
    </row>
    <row r="846" spans="1:7" x14ac:dyDescent="0.3">
      <c r="A846" t="s">
        <v>38</v>
      </c>
      <c r="B846" t="s">
        <v>27</v>
      </c>
      <c r="C846" t="s">
        <v>22</v>
      </c>
      <c r="D846" t="s">
        <v>18</v>
      </c>
      <c r="E846" s="17">
        <v>20282.64</v>
      </c>
      <c r="F846" s="17">
        <v>5507.8100000000013</v>
      </c>
      <c r="G846" s="17">
        <v>5507.81</v>
      </c>
    </row>
    <row r="847" spans="1:7" x14ac:dyDescent="0.3">
      <c r="A847" t="s">
        <v>38</v>
      </c>
      <c r="B847" t="s">
        <v>27</v>
      </c>
      <c r="C847" t="s">
        <v>22</v>
      </c>
      <c r="D847" t="s">
        <v>19</v>
      </c>
      <c r="E847" s="17">
        <v>23595.82</v>
      </c>
      <c r="F847" s="17">
        <v>9057.0300000000007</v>
      </c>
      <c r="G847" s="17">
        <v>9057.0300000000007</v>
      </c>
    </row>
    <row r="848" spans="1:7" x14ac:dyDescent="0.3">
      <c r="A848" t="s">
        <v>38</v>
      </c>
      <c r="B848" t="s">
        <v>27</v>
      </c>
      <c r="C848" t="s">
        <v>22</v>
      </c>
      <c r="D848" t="s">
        <v>20</v>
      </c>
      <c r="E848" s="17">
        <v>6578.33</v>
      </c>
      <c r="F848" s="17">
        <v>2088.38</v>
      </c>
      <c r="G848" s="17">
        <v>2088.38</v>
      </c>
    </row>
    <row r="849" spans="1:7" x14ac:dyDescent="0.3">
      <c r="A849" t="s">
        <v>38</v>
      </c>
      <c r="B849" t="s">
        <v>27</v>
      </c>
      <c r="C849" t="s">
        <v>22</v>
      </c>
      <c r="D849" t="s">
        <v>21</v>
      </c>
      <c r="E849" s="17">
        <v>13501.79</v>
      </c>
      <c r="F849" s="17">
        <v>2595.4699999999989</v>
      </c>
      <c r="G849" s="17">
        <v>2595.4699999999998</v>
      </c>
    </row>
    <row r="850" spans="1:7" x14ac:dyDescent="0.3">
      <c r="A850" t="s">
        <v>38</v>
      </c>
      <c r="B850" t="s">
        <v>27</v>
      </c>
      <c r="C850" t="s">
        <v>23</v>
      </c>
      <c r="D850" t="s">
        <v>18</v>
      </c>
      <c r="E850" s="17">
        <v>5151.84</v>
      </c>
      <c r="F850" s="17">
        <v>1390.59</v>
      </c>
      <c r="G850" s="17">
        <v>1390.59</v>
      </c>
    </row>
    <row r="851" spans="1:7" x14ac:dyDescent="0.3">
      <c r="A851" t="s">
        <v>38</v>
      </c>
      <c r="B851" t="s">
        <v>27</v>
      </c>
      <c r="C851" t="s">
        <v>23</v>
      </c>
      <c r="D851" t="s">
        <v>19</v>
      </c>
      <c r="E851" s="17">
        <v>12896.12</v>
      </c>
      <c r="F851" s="17">
        <v>3912.51</v>
      </c>
      <c r="G851" s="17">
        <v>3912.51</v>
      </c>
    </row>
    <row r="852" spans="1:7" x14ac:dyDescent="0.3">
      <c r="A852" t="s">
        <v>38</v>
      </c>
      <c r="B852" t="s">
        <v>27</v>
      </c>
      <c r="C852" t="s">
        <v>23</v>
      </c>
      <c r="D852" t="s">
        <v>20</v>
      </c>
      <c r="E852" s="17">
        <v>15943.99</v>
      </c>
      <c r="F852" s="17">
        <v>5089.1099999999988</v>
      </c>
      <c r="G852" s="17">
        <v>5089.1099999999997</v>
      </c>
    </row>
    <row r="853" spans="1:7" x14ac:dyDescent="0.3">
      <c r="A853" t="s">
        <v>38</v>
      </c>
      <c r="B853" t="s">
        <v>27</v>
      </c>
      <c r="C853" t="s">
        <v>23</v>
      </c>
      <c r="D853" t="s">
        <v>21</v>
      </c>
      <c r="E853" s="17">
        <v>9543.2099999999991</v>
      </c>
      <c r="F853" s="17">
        <v>3297.45</v>
      </c>
      <c r="G853" s="17">
        <v>3297.45</v>
      </c>
    </row>
    <row r="854" spans="1:7" x14ac:dyDescent="0.3">
      <c r="A854" t="s">
        <v>38</v>
      </c>
      <c r="B854" t="s">
        <v>27</v>
      </c>
      <c r="C854" t="s">
        <v>24</v>
      </c>
      <c r="D854" t="s">
        <v>18</v>
      </c>
      <c r="E854" s="17">
        <v>5737.55</v>
      </c>
      <c r="F854" s="17">
        <v>2567.36</v>
      </c>
      <c r="G854" s="17">
        <v>2567.36</v>
      </c>
    </row>
    <row r="855" spans="1:7" x14ac:dyDescent="0.3">
      <c r="A855" t="s">
        <v>38</v>
      </c>
      <c r="B855" t="s">
        <v>27</v>
      </c>
      <c r="C855" t="s">
        <v>24</v>
      </c>
      <c r="D855" t="s">
        <v>19</v>
      </c>
      <c r="E855" s="17">
        <v>19004.349999999999</v>
      </c>
      <c r="F855" s="17">
        <v>4956.2099999999991</v>
      </c>
      <c r="G855" s="17">
        <v>4956.21</v>
      </c>
    </row>
    <row r="856" spans="1:7" x14ac:dyDescent="0.3">
      <c r="A856" t="s">
        <v>38</v>
      </c>
      <c r="B856" t="s">
        <v>27</v>
      </c>
      <c r="C856" t="s">
        <v>24</v>
      </c>
      <c r="D856" t="s">
        <v>20</v>
      </c>
      <c r="E856" s="17">
        <v>9736.59</v>
      </c>
      <c r="F856" s="17">
        <v>3930.059999999999</v>
      </c>
      <c r="G856" s="17">
        <v>3930.06</v>
      </c>
    </row>
    <row r="857" spans="1:7" x14ac:dyDescent="0.3">
      <c r="A857" t="s">
        <v>38</v>
      </c>
      <c r="B857" t="s">
        <v>27</v>
      </c>
      <c r="C857" t="s">
        <v>24</v>
      </c>
      <c r="D857" t="s">
        <v>21</v>
      </c>
      <c r="E857" s="17">
        <v>14243.82</v>
      </c>
      <c r="F857" s="17">
        <v>5289.58</v>
      </c>
      <c r="G857" s="17">
        <v>5289.58</v>
      </c>
    </row>
    <row r="858" spans="1:7" x14ac:dyDescent="0.3">
      <c r="A858" t="s">
        <v>38</v>
      </c>
      <c r="B858" t="s">
        <v>27</v>
      </c>
      <c r="C858" t="s">
        <v>25</v>
      </c>
      <c r="D858" t="s">
        <v>18</v>
      </c>
      <c r="E858" s="17">
        <v>8895.18</v>
      </c>
      <c r="F858" s="17">
        <v>3560.32</v>
      </c>
      <c r="G858" s="17">
        <v>3560.32</v>
      </c>
    </row>
    <row r="859" spans="1:7" x14ac:dyDescent="0.3">
      <c r="A859" t="s">
        <v>38</v>
      </c>
      <c r="B859" t="s">
        <v>27</v>
      </c>
      <c r="C859" t="s">
        <v>25</v>
      </c>
      <c r="D859" t="s">
        <v>19</v>
      </c>
      <c r="E859" s="17">
        <v>10472.23</v>
      </c>
      <c r="F859" s="17">
        <v>3790.190000000001</v>
      </c>
      <c r="G859" s="17">
        <v>3790.19</v>
      </c>
    </row>
    <row r="860" spans="1:7" x14ac:dyDescent="0.3">
      <c r="A860" t="s">
        <v>38</v>
      </c>
      <c r="B860" t="s">
        <v>27</v>
      </c>
      <c r="C860" t="s">
        <v>25</v>
      </c>
      <c r="D860" t="s">
        <v>20</v>
      </c>
      <c r="E860" s="17">
        <v>24537.65</v>
      </c>
      <c r="F860" s="17">
        <v>8283.9</v>
      </c>
      <c r="G860" s="17">
        <v>8283.9</v>
      </c>
    </row>
    <row r="861" spans="1:7" x14ac:dyDescent="0.3">
      <c r="A861" t="s">
        <v>38</v>
      </c>
      <c r="B861" t="s">
        <v>27</v>
      </c>
      <c r="C861" t="s">
        <v>25</v>
      </c>
      <c r="D861" t="s">
        <v>21</v>
      </c>
      <c r="E861" s="17">
        <v>20325.36</v>
      </c>
      <c r="F861" s="17">
        <v>7639.0299999999988</v>
      </c>
      <c r="G861" s="17">
        <v>7639.03</v>
      </c>
    </row>
    <row r="862" spans="1:7" x14ac:dyDescent="0.3">
      <c r="A862" t="s">
        <v>38</v>
      </c>
      <c r="B862" t="s">
        <v>28</v>
      </c>
      <c r="C862" t="s">
        <v>17</v>
      </c>
      <c r="D862" t="s">
        <v>18</v>
      </c>
      <c r="E862" s="17">
        <v>17825</v>
      </c>
      <c r="F862" s="17">
        <v>3336.75</v>
      </c>
      <c r="G862" s="17">
        <v>3336.75</v>
      </c>
    </row>
    <row r="863" spans="1:7" x14ac:dyDescent="0.3">
      <c r="A863" t="s">
        <v>38</v>
      </c>
      <c r="B863" t="s">
        <v>28</v>
      </c>
      <c r="C863" t="s">
        <v>17</v>
      </c>
      <c r="D863" t="s">
        <v>19</v>
      </c>
      <c r="E863" s="17">
        <v>12915.57</v>
      </c>
      <c r="F863" s="17">
        <v>5697.18</v>
      </c>
      <c r="G863" s="17">
        <v>5697.18</v>
      </c>
    </row>
    <row r="864" spans="1:7" x14ac:dyDescent="0.3">
      <c r="A864" t="s">
        <v>38</v>
      </c>
      <c r="B864" t="s">
        <v>28</v>
      </c>
      <c r="C864" t="s">
        <v>17</v>
      </c>
      <c r="D864" t="s">
        <v>20</v>
      </c>
      <c r="E864" s="17">
        <v>20006.79</v>
      </c>
      <c r="F864" s="17">
        <v>7793.92</v>
      </c>
      <c r="G864" s="17">
        <v>7793.92</v>
      </c>
    </row>
    <row r="865" spans="1:7" x14ac:dyDescent="0.3">
      <c r="A865" t="s">
        <v>38</v>
      </c>
      <c r="B865" t="s">
        <v>28</v>
      </c>
      <c r="C865" t="s">
        <v>17</v>
      </c>
      <c r="D865" t="s">
        <v>21</v>
      </c>
      <c r="E865" s="17">
        <v>15285.59</v>
      </c>
      <c r="F865" s="17">
        <v>5728.7000000000007</v>
      </c>
      <c r="G865" s="17">
        <v>5728.7</v>
      </c>
    </row>
    <row r="866" spans="1:7" x14ac:dyDescent="0.3">
      <c r="A866" t="s">
        <v>38</v>
      </c>
      <c r="B866" t="s">
        <v>28</v>
      </c>
      <c r="C866" t="s">
        <v>22</v>
      </c>
      <c r="D866" t="s">
        <v>18</v>
      </c>
      <c r="E866" s="17">
        <v>15421.04</v>
      </c>
      <c r="F866" s="17">
        <v>3485.74</v>
      </c>
      <c r="G866" s="17">
        <v>3485.74</v>
      </c>
    </row>
    <row r="867" spans="1:7" x14ac:dyDescent="0.3">
      <c r="A867" t="s">
        <v>38</v>
      </c>
      <c r="B867" t="s">
        <v>28</v>
      </c>
      <c r="C867" t="s">
        <v>22</v>
      </c>
      <c r="D867" t="s">
        <v>19</v>
      </c>
      <c r="E867" s="17">
        <v>16467.580000000002</v>
      </c>
      <c r="F867" s="17">
        <v>5719.66</v>
      </c>
      <c r="G867" s="17">
        <v>5719.66</v>
      </c>
    </row>
    <row r="868" spans="1:7" x14ac:dyDescent="0.3">
      <c r="A868" t="s">
        <v>38</v>
      </c>
      <c r="B868" t="s">
        <v>28</v>
      </c>
      <c r="C868" t="s">
        <v>22</v>
      </c>
      <c r="D868" t="s">
        <v>20</v>
      </c>
      <c r="E868" s="17">
        <v>21346.84</v>
      </c>
      <c r="F868" s="17">
        <v>4694.16</v>
      </c>
      <c r="G868" s="17">
        <v>4694.16</v>
      </c>
    </row>
    <row r="869" spans="1:7" x14ac:dyDescent="0.3">
      <c r="A869" t="s">
        <v>38</v>
      </c>
      <c r="B869" t="s">
        <v>28</v>
      </c>
      <c r="C869" t="s">
        <v>22</v>
      </c>
      <c r="D869" t="s">
        <v>21</v>
      </c>
      <c r="E869" s="17">
        <v>17656.72</v>
      </c>
      <c r="F869" s="17">
        <v>3328.7199999999989</v>
      </c>
      <c r="G869" s="17">
        <v>3328.72</v>
      </c>
    </row>
    <row r="870" spans="1:7" x14ac:dyDescent="0.3">
      <c r="A870" t="s">
        <v>38</v>
      </c>
      <c r="B870" t="s">
        <v>28</v>
      </c>
      <c r="C870" t="s">
        <v>23</v>
      </c>
      <c r="D870" t="s">
        <v>18</v>
      </c>
      <c r="E870" s="17">
        <v>23808.720000000001</v>
      </c>
      <c r="F870" s="17">
        <v>4992.0200000000004</v>
      </c>
      <c r="G870" s="17">
        <v>4992.0200000000004</v>
      </c>
    </row>
    <row r="871" spans="1:7" x14ac:dyDescent="0.3">
      <c r="A871" t="s">
        <v>38</v>
      </c>
      <c r="B871" t="s">
        <v>28</v>
      </c>
      <c r="C871" t="s">
        <v>23</v>
      </c>
      <c r="D871" t="s">
        <v>19</v>
      </c>
      <c r="E871" s="17">
        <v>2435.56</v>
      </c>
      <c r="F871" s="17">
        <v>644.69000000000005</v>
      </c>
      <c r="G871" s="17">
        <v>644.69000000000005</v>
      </c>
    </row>
    <row r="872" spans="1:7" x14ac:dyDescent="0.3">
      <c r="A872" t="s">
        <v>38</v>
      </c>
      <c r="B872" t="s">
        <v>28</v>
      </c>
      <c r="C872" t="s">
        <v>23</v>
      </c>
      <c r="D872" t="s">
        <v>20</v>
      </c>
      <c r="E872" s="17">
        <v>5482.92</v>
      </c>
      <c r="F872" s="17">
        <v>2009.13</v>
      </c>
      <c r="G872" s="17">
        <v>2009.13</v>
      </c>
    </row>
    <row r="873" spans="1:7" x14ac:dyDescent="0.3">
      <c r="A873" t="s">
        <v>38</v>
      </c>
      <c r="B873" t="s">
        <v>28</v>
      </c>
      <c r="C873" t="s">
        <v>23</v>
      </c>
      <c r="D873" t="s">
        <v>21</v>
      </c>
      <c r="E873" s="17">
        <v>11438.68</v>
      </c>
      <c r="F873" s="17">
        <v>4452.42</v>
      </c>
      <c r="G873" s="17">
        <v>4452.42</v>
      </c>
    </row>
    <row r="874" spans="1:7" x14ac:dyDescent="0.3">
      <c r="A874" t="s">
        <v>38</v>
      </c>
      <c r="B874" t="s">
        <v>28</v>
      </c>
      <c r="C874" t="s">
        <v>24</v>
      </c>
      <c r="D874" t="s">
        <v>18</v>
      </c>
      <c r="E874" s="17">
        <v>23171.98</v>
      </c>
      <c r="F874" s="17">
        <v>9631.68</v>
      </c>
      <c r="G874" s="17">
        <v>9631.68</v>
      </c>
    </row>
    <row r="875" spans="1:7" x14ac:dyDescent="0.3">
      <c r="A875" t="s">
        <v>38</v>
      </c>
      <c r="B875" t="s">
        <v>28</v>
      </c>
      <c r="C875" t="s">
        <v>24</v>
      </c>
      <c r="D875" t="s">
        <v>19</v>
      </c>
      <c r="E875" s="17">
        <v>18924.259999999998</v>
      </c>
      <c r="F875" s="17">
        <v>3724.6</v>
      </c>
      <c r="G875" s="17">
        <v>3724.6</v>
      </c>
    </row>
    <row r="876" spans="1:7" x14ac:dyDescent="0.3">
      <c r="A876" t="s">
        <v>38</v>
      </c>
      <c r="B876" t="s">
        <v>28</v>
      </c>
      <c r="C876" t="s">
        <v>24</v>
      </c>
      <c r="D876" t="s">
        <v>20</v>
      </c>
      <c r="E876" s="17">
        <v>5175.8999999999996</v>
      </c>
      <c r="F876" s="17">
        <v>1221.42</v>
      </c>
      <c r="G876" s="17">
        <v>1221.42</v>
      </c>
    </row>
    <row r="877" spans="1:7" x14ac:dyDescent="0.3">
      <c r="A877" t="s">
        <v>38</v>
      </c>
      <c r="B877" t="s">
        <v>28</v>
      </c>
      <c r="C877" t="s">
        <v>24</v>
      </c>
      <c r="D877" t="s">
        <v>21</v>
      </c>
      <c r="E877" s="17">
        <v>9476.14</v>
      </c>
      <c r="F877" s="17">
        <v>3400.05</v>
      </c>
      <c r="G877" s="17">
        <v>3400.05</v>
      </c>
    </row>
    <row r="878" spans="1:7" x14ac:dyDescent="0.3">
      <c r="A878" t="s">
        <v>38</v>
      </c>
      <c r="B878" t="s">
        <v>28</v>
      </c>
      <c r="C878" t="s">
        <v>25</v>
      </c>
      <c r="D878" t="s">
        <v>18</v>
      </c>
      <c r="E878" s="17">
        <v>14085.97</v>
      </c>
      <c r="F878" s="17">
        <v>3728.74</v>
      </c>
      <c r="G878" s="17">
        <v>3728.74</v>
      </c>
    </row>
    <row r="879" spans="1:7" x14ac:dyDescent="0.3">
      <c r="A879" t="s">
        <v>38</v>
      </c>
      <c r="B879" t="s">
        <v>28</v>
      </c>
      <c r="C879" t="s">
        <v>25</v>
      </c>
      <c r="D879" t="s">
        <v>19</v>
      </c>
      <c r="E879" s="17">
        <v>5983.2</v>
      </c>
      <c r="F879" s="17">
        <v>2550.48</v>
      </c>
      <c r="G879" s="17">
        <v>2550.48</v>
      </c>
    </row>
    <row r="880" spans="1:7" x14ac:dyDescent="0.3">
      <c r="A880" t="s">
        <v>38</v>
      </c>
      <c r="B880" t="s">
        <v>28</v>
      </c>
      <c r="C880" t="s">
        <v>25</v>
      </c>
      <c r="D880" t="s">
        <v>20</v>
      </c>
      <c r="E880" s="17">
        <v>9873.52</v>
      </c>
      <c r="F880" s="17">
        <v>2721.71</v>
      </c>
      <c r="G880" s="17">
        <v>2721.71</v>
      </c>
    </row>
    <row r="881" spans="1:7" x14ac:dyDescent="0.3">
      <c r="A881" t="s">
        <v>38</v>
      </c>
      <c r="B881" t="s">
        <v>28</v>
      </c>
      <c r="C881" t="s">
        <v>25</v>
      </c>
      <c r="D881" t="s">
        <v>21</v>
      </c>
      <c r="E881" s="17">
        <v>19755.77</v>
      </c>
      <c r="F881" s="17">
        <v>7401.49</v>
      </c>
      <c r="G881" s="17">
        <v>7401.49</v>
      </c>
    </row>
    <row r="882" spans="1:7" x14ac:dyDescent="0.3">
      <c r="A882" t="s">
        <v>39</v>
      </c>
      <c r="B882" t="s">
        <v>16</v>
      </c>
      <c r="C882" t="s">
        <v>17</v>
      </c>
      <c r="D882" t="s">
        <v>18</v>
      </c>
      <c r="E882" s="17">
        <v>16796.11</v>
      </c>
      <c r="F882" s="17">
        <v>6167.4399999999987</v>
      </c>
      <c r="G882" s="17">
        <v>6167.44</v>
      </c>
    </row>
    <row r="883" spans="1:7" x14ac:dyDescent="0.3">
      <c r="A883" t="s">
        <v>39</v>
      </c>
      <c r="B883" t="s">
        <v>16</v>
      </c>
      <c r="C883" t="s">
        <v>17</v>
      </c>
      <c r="D883" t="s">
        <v>19</v>
      </c>
      <c r="E883" s="17">
        <v>16031.76</v>
      </c>
      <c r="F883" s="17">
        <v>3717.9499999999989</v>
      </c>
      <c r="G883" s="17">
        <v>3717.95</v>
      </c>
    </row>
    <row r="884" spans="1:7" x14ac:dyDescent="0.3">
      <c r="A884" t="s">
        <v>39</v>
      </c>
      <c r="B884" t="s">
        <v>16</v>
      </c>
      <c r="C884" t="s">
        <v>17</v>
      </c>
      <c r="D884" t="s">
        <v>20</v>
      </c>
      <c r="E884" s="17">
        <v>7669.94</v>
      </c>
      <c r="F884" s="17">
        <v>2536.3200000000011</v>
      </c>
      <c r="G884" s="17">
        <v>2536.3200000000002</v>
      </c>
    </row>
    <row r="885" spans="1:7" x14ac:dyDescent="0.3">
      <c r="A885" t="s">
        <v>39</v>
      </c>
      <c r="B885" t="s">
        <v>16</v>
      </c>
      <c r="C885" t="s">
        <v>17</v>
      </c>
      <c r="D885" t="s">
        <v>21</v>
      </c>
      <c r="E885" s="17">
        <v>7171.94</v>
      </c>
      <c r="F885" s="17">
        <v>3174.92</v>
      </c>
      <c r="G885" s="17">
        <v>3174.92</v>
      </c>
    </row>
    <row r="886" spans="1:7" x14ac:dyDescent="0.3">
      <c r="A886" t="s">
        <v>39</v>
      </c>
      <c r="B886" t="s">
        <v>16</v>
      </c>
      <c r="C886" t="s">
        <v>22</v>
      </c>
      <c r="D886" t="s">
        <v>18</v>
      </c>
      <c r="E886" s="17">
        <v>8845.14</v>
      </c>
      <c r="F886" s="17">
        <v>2282.3200000000002</v>
      </c>
      <c r="G886" s="17">
        <v>2282.3200000000002</v>
      </c>
    </row>
    <row r="887" spans="1:7" x14ac:dyDescent="0.3">
      <c r="A887" t="s">
        <v>39</v>
      </c>
      <c r="B887" t="s">
        <v>16</v>
      </c>
      <c r="C887" t="s">
        <v>22</v>
      </c>
      <c r="D887" t="s">
        <v>19</v>
      </c>
      <c r="E887" s="17">
        <v>6767.39</v>
      </c>
      <c r="F887" s="17">
        <v>2506.2800000000002</v>
      </c>
      <c r="G887" s="17">
        <v>2506.2800000000002</v>
      </c>
    </row>
    <row r="888" spans="1:7" x14ac:dyDescent="0.3">
      <c r="A888" t="s">
        <v>39</v>
      </c>
      <c r="B888" t="s">
        <v>16</v>
      </c>
      <c r="C888" t="s">
        <v>22</v>
      </c>
      <c r="D888" t="s">
        <v>20</v>
      </c>
      <c r="E888" s="17">
        <v>9291.94</v>
      </c>
      <c r="F888" s="17">
        <v>2547.63</v>
      </c>
      <c r="G888" s="17">
        <v>2547.63</v>
      </c>
    </row>
    <row r="889" spans="1:7" x14ac:dyDescent="0.3">
      <c r="A889" t="s">
        <v>39</v>
      </c>
      <c r="B889" t="s">
        <v>16</v>
      </c>
      <c r="C889" t="s">
        <v>22</v>
      </c>
      <c r="D889" t="s">
        <v>21</v>
      </c>
      <c r="E889" s="17">
        <v>23475.11</v>
      </c>
      <c r="F889" s="17">
        <v>9267.02</v>
      </c>
      <c r="G889" s="17">
        <v>9267.02</v>
      </c>
    </row>
    <row r="890" spans="1:7" x14ac:dyDescent="0.3">
      <c r="A890" t="s">
        <v>39</v>
      </c>
      <c r="B890" t="s">
        <v>16</v>
      </c>
      <c r="C890" t="s">
        <v>23</v>
      </c>
      <c r="D890" t="s">
        <v>18</v>
      </c>
      <c r="E890" s="17">
        <v>8289.52</v>
      </c>
      <c r="F890" s="17">
        <v>1764.89</v>
      </c>
      <c r="G890" s="17">
        <v>1764.89</v>
      </c>
    </row>
    <row r="891" spans="1:7" x14ac:dyDescent="0.3">
      <c r="A891" t="s">
        <v>39</v>
      </c>
      <c r="B891" t="s">
        <v>16</v>
      </c>
      <c r="C891" t="s">
        <v>23</v>
      </c>
      <c r="D891" t="s">
        <v>19</v>
      </c>
      <c r="E891" s="17">
        <v>17562.310000000001</v>
      </c>
      <c r="F891" s="17">
        <v>4961.66</v>
      </c>
      <c r="G891" s="17">
        <v>4961.66</v>
      </c>
    </row>
    <row r="892" spans="1:7" x14ac:dyDescent="0.3">
      <c r="A892" t="s">
        <v>39</v>
      </c>
      <c r="B892" t="s">
        <v>16</v>
      </c>
      <c r="C892" t="s">
        <v>23</v>
      </c>
      <c r="D892" t="s">
        <v>20</v>
      </c>
      <c r="E892" s="17">
        <v>24543.69</v>
      </c>
      <c r="F892" s="17">
        <v>9841.08</v>
      </c>
      <c r="G892" s="17">
        <v>9841.08</v>
      </c>
    </row>
    <row r="893" spans="1:7" x14ac:dyDescent="0.3">
      <c r="A893" t="s">
        <v>39</v>
      </c>
      <c r="B893" t="s">
        <v>16</v>
      </c>
      <c r="C893" t="s">
        <v>23</v>
      </c>
      <c r="D893" t="s">
        <v>21</v>
      </c>
      <c r="E893" s="17">
        <v>23956</v>
      </c>
      <c r="F893" s="17">
        <v>9516.43</v>
      </c>
      <c r="G893" s="17">
        <v>9516.43</v>
      </c>
    </row>
    <row r="894" spans="1:7" x14ac:dyDescent="0.3">
      <c r="A894" t="s">
        <v>39</v>
      </c>
      <c r="B894" t="s">
        <v>16</v>
      </c>
      <c r="C894" t="s">
        <v>24</v>
      </c>
      <c r="D894" t="s">
        <v>18</v>
      </c>
      <c r="E894" s="17">
        <v>8680.41</v>
      </c>
      <c r="F894" s="17">
        <v>2236.6</v>
      </c>
      <c r="G894" s="17">
        <v>2236.6</v>
      </c>
    </row>
    <row r="895" spans="1:7" x14ac:dyDescent="0.3">
      <c r="A895" t="s">
        <v>39</v>
      </c>
      <c r="B895" t="s">
        <v>16</v>
      </c>
      <c r="C895" t="s">
        <v>24</v>
      </c>
      <c r="D895" t="s">
        <v>19</v>
      </c>
      <c r="E895" s="17">
        <v>18425.25</v>
      </c>
      <c r="F895" s="17">
        <v>5039.6399999999994</v>
      </c>
      <c r="G895" s="17">
        <v>5039.6400000000003</v>
      </c>
    </row>
    <row r="896" spans="1:7" x14ac:dyDescent="0.3">
      <c r="A896" t="s">
        <v>39</v>
      </c>
      <c r="B896" t="s">
        <v>16</v>
      </c>
      <c r="C896" t="s">
        <v>24</v>
      </c>
      <c r="D896" t="s">
        <v>20</v>
      </c>
      <c r="E896" s="17">
        <v>12174.65</v>
      </c>
      <c r="F896" s="17">
        <v>3034.41</v>
      </c>
      <c r="G896" s="17">
        <v>3034.41</v>
      </c>
    </row>
    <row r="897" spans="1:7" x14ac:dyDescent="0.3">
      <c r="A897" t="s">
        <v>39</v>
      </c>
      <c r="B897" t="s">
        <v>16</v>
      </c>
      <c r="C897" t="s">
        <v>24</v>
      </c>
      <c r="D897" t="s">
        <v>21</v>
      </c>
      <c r="E897" s="17">
        <v>13018.82</v>
      </c>
      <c r="F897" s="17">
        <v>3053.67</v>
      </c>
      <c r="G897" s="17">
        <v>3053.67</v>
      </c>
    </row>
    <row r="898" spans="1:7" x14ac:dyDescent="0.3">
      <c r="A898" t="s">
        <v>39</v>
      </c>
      <c r="B898" t="s">
        <v>16</v>
      </c>
      <c r="C898" t="s">
        <v>25</v>
      </c>
      <c r="D898" t="s">
        <v>18</v>
      </c>
      <c r="E898" s="17">
        <v>14387.29</v>
      </c>
      <c r="F898" s="17">
        <v>6214.11</v>
      </c>
      <c r="G898" s="17">
        <v>6214.11</v>
      </c>
    </row>
    <row r="899" spans="1:7" x14ac:dyDescent="0.3">
      <c r="A899" t="s">
        <v>39</v>
      </c>
      <c r="B899" t="s">
        <v>16</v>
      </c>
      <c r="C899" t="s">
        <v>25</v>
      </c>
      <c r="D899" t="s">
        <v>19</v>
      </c>
      <c r="E899" s="17">
        <v>18011.939999999999</v>
      </c>
      <c r="F899" s="17">
        <v>3909.74</v>
      </c>
      <c r="G899" s="17">
        <v>3909.74</v>
      </c>
    </row>
    <row r="900" spans="1:7" x14ac:dyDescent="0.3">
      <c r="A900" t="s">
        <v>39</v>
      </c>
      <c r="B900" t="s">
        <v>16</v>
      </c>
      <c r="C900" t="s">
        <v>25</v>
      </c>
      <c r="D900" t="s">
        <v>20</v>
      </c>
      <c r="E900" s="17">
        <v>16160.57</v>
      </c>
      <c r="F900" s="17">
        <v>5469.4500000000007</v>
      </c>
      <c r="G900" s="17">
        <v>5469.45</v>
      </c>
    </row>
    <row r="901" spans="1:7" x14ac:dyDescent="0.3">
      <c r="A901" t="s">
        <v>39</v>
      </c>
      <c r="B901" t="s">
        <v>16</v>
      </c>
      <c r="C901" t="s">
        <v>25</v>
      </c>
      <c r="D901" t="s">
        <v>21</v>
      </c>
      <c r="E901" s="17">
        <v>7576.53</v>
      </c>
      <c r="F901" s="17">
        <v>2734.03</v>
      </c>
      <c r="G901" s="17">
        <v>2734.03</v>
      </c>
    </row>
    <row r="902" spans="1:7" x14ac:dyDescent="0.3">
      <c r="A902" t="s">
        <v>39</v>
      </c>
      <c r="B902" t="s">
        <v>26</v>
      </c>
      <c r="C902" t="s">
        <v>17</v>
      </c>
      <c r="D902" t="s">
        <v>18</v>
      </c>
      <c r="E902" s="17">
        <v>14213.95</v>
      </c>
      <c r="F902" s="17">
        <v>5006.7900000000009</v>
      </c>
      <c r="G902" s="17">
        <v>5006.79</v>
      </c>
    </row>
    <row r="903" spans="1:7" x14ac:dyDescent="0.3">
      <c r="A903" t="s">
        <v>39</v>
      </c>
      <c r="B903" t="s">
        <v>26</v>
      </c>
      <c r="C903" t="s">
        <v>17</v>
      </c>
      <c r="D903" t="s">
        <v>19</v>
      </c>
      <c r="E903" s="17">
        <v>3207.3</v>
      </c>
      <c r="F903" s="17">
        <v>935.22000000000025</v>
      </c>
      <c r="G903" s="17">
        <v>935.22</v>
      </c>
    </row>
    <row r="904" spans="1:7" x14ac:dyDescent="0.3">
      <c r="A904" t="s">
        <v>39</v>
      </c>
      <c r="B904" t="s">
        <v>26</v>
      </c>
      <c r="C904" t="s">
        <v>17</v>
      </c>
      <c r="D904" t="s">
        <v>20</v>
      </c>
      <c r="E904" s="17">
        <v>18499.240000000002</v>
      </c>
      <c r="F904" s="17">
        <v>3832.059999999999</v>
      </c>
      <c r="G904" s="17">
        <v>3832.06</v>
      </c>
    </row>
    <row r="905" spans="1:7" x14ac:dyDescent="0.3">
      <c r="A905" t="s">
        <v>39</v>
      </c>
      <c r="B905" t="s">
        <v>26</v>
      </c>
      <c r="C905" t="s">
        <v>17</v>
      </c>
      <c r="D905" t="s">
        <v>21</v>
      </c>
      <c r="E905" s="17">
        <v>19727.62</v>
      </c>
      <c r="F905" s="17">
        <v>3578.57</v>
      </c>
      <c r="G905" s="17">
        <v>3578.57</v>
      </c>
    </row>
    <row r="906" spans="1:7" x14ac:dyDescent="0.3">
      <c r="A906" t="s">
        <v>39</v>
      </c>
      <c r="B906" t="s">
        <v>26</v>
      </c>
      <c r="C906" t="s">
        <v>22</v>
      </c>
      <c r="D906" t="s">
        <v>18</v>
      </c>
      <c r="E906" s="17">
        <v>14658.11</v>
      </c>
      <c r="F906" s="17">
        <v>6315.5499999999993</v>
      </c>
      <c r="G906" s="17">
        <v>6315.55</v>
      </c>
    </row>
    <row r="907" spans="1:7" x14ac:dyDescent="0.3">
      <c r="A907" t="s">
        <v>39</v>
      </c>
      <c r="B907" t="s">
        <v>26</v>
      </c>
      <c r="C907" t="s">
        <v>22</v>
      </c>
      <c r="D907" t="s">
        <v>19</v>
      </c>
      <c r="E907" s="17">
        <v>11358.87</v>
      </c>
      <c r="F907" s="17">
        <v>4912.24</v>
      </c>
      <c r="G907" s="17">
        <v>4912.24</v>
      </c>
    </row>
    <row r="908" spans="1:7" x14ac:dyDescent="0.3">
      <c r="A908" t="s">
        <v>39</v>
      </c>
      <c r="B908" t="s">
        <v>26</v>
      </c>
      <c r="C908" t="s">
        <v>22</v>
      </c>
      <c r="D908" t="s">
        <v>20</v>
      </c>
      <c r="E908" s="17">
        <v>22203.19</v>
      </c>
      <c r="F908" s="17">
        <v>6858.8100000000013</v>
      </c>
      <c r="G908" s="17">
        <v>6858.81</v>
      </c>
    </row>
    <row r="909" spans="1:7" x14ac:dyDescent="0.3">
      <c r="A909" t="s">
        <v>39</v>
      </c>
      <c r="B909" t="s">
        <v>26</v>
      </c>
      <c r="C909" t="s">
        <v>22</v>
      </c>
      <c r="D909" t="s">
        <v>21</v>
      </c>
      <c r="E909" s="17">
        <v>6587.49</v>
      </c>
      <c r="F909" s="17">
        <v>2900.19</v>
      </c>
      <c r="G909" s="17">
        <v>2900.19</v>
      </c>
    </row>
    <row r="910" spans="1:7" x14ac:dyDescent="0.3">
      <c r="A910" t="s">
        <v>39</v>
      </c>
      <c r="B910" t="s">
        <v>26</v>
      </c>
      <c r="C910" t="s">
        <v>23</v>
      </c>
      <c r="D910" t="s">
        <v>18</v>
      </c>
      <c r="E910" s="17">
        <v>9386.86</v>
      </c>
      <c r="F910" s="17">
        <v>3326.63</v>
      </c>
      <c r="G910" s="17">
        <v>3326.63</v>
      </c>
    </row>
    <row r="911" spans="1:7" x14ac:dyDescent="0.3">
      <c r="A911" t="s">
        <v>39</v>
      </c>
      <c r="B911" t="s">
        <v>26</v>
      </c>
      <c r="C911" t="s">
        <v>23</v>
      </c>
      <c r="D911" t="s">
        <v>19</v>
      </c>
      <c r="E911" s="17">
        <v>22882.55</v>
      </c>
      <c r="F911" s="17">
        <v>4671.57</v>
      </c>
      <c r="G911" s="17">
        <v>4671.57</v>
      </c>
    </row>
    <row r="912" spans="1:7" x14ac:dyDescent="0.3">
      <c r="A912" t="s">
        <v>39</v>
      </c>
      <c r="B912" t="s">
        <v>26</v>
      </c>
      <c r="C912" t="s">
        <v>23</v>
      </c>
      <c r="D912" t="s">
        <v>20</v>
      </c>
      <c r="E912" s="17">
        <v>15205.07</v>
      </c>
      <c r="F912" s="17">
        <v>4933.91</v>
      </c>
      <c r="G912" s="17">
        <v>4933.91</v>
      </c>
    </row>
    <row r="913" spans="1:7" x14ac:dyDescent="0.3">
      <c r="A913" t="s">
        <v>39</v>
      </c>
      <c r="B913" t="s">
        <v>26</v>
      </c>
      <c r="C913" t="s">
        <v>23</v>
      </c>
      <c r="D913" t="s">
        <v>21</v>
      </c>
      <c r="E913" s="17">
        <v>18631.71</v>
      </c>
      <c r="F913" s="17">
        <v>8065.68</v>
      </c>
      <c r="G913" s="17">
        <v>8065.68</v>
      </c>
    </row>
    <row r="914" spans="1:7" x14ac:dyDescent="0.3">
      <c r="A914" t="s">
        <v>39</v>
      </c>
      <c r="B914" t="s">
        <v>26</v>
      </c>
      <c r="C914" t="s">
        <v>24</v>
      </c>
      <c r="D914" t="s">
        <v>18</v>
      </c>
      <c r="E914" s="17">
        <v>23004.28</v>
      </c>
      <c r="F914" s="17">
        <v>5228.119999999999</v>
      </c>
      <c r="G914" s="17">
        <v>5228.12</v>
      </c>
    </row>
    <row r="915" spans="1:7" x14ac:dyDescent="0.3">
      <c r="A915" t="s">
        <v>39</v>
      </c>
      <c r="B915" t="s">
        <v>26</v>
      </c>
      <c r="C915" t="s">
        <v>24</v>
      </c>
      <c r="D915" t="s">
        <v>19</v>
      </c>
      <c r="E915" s="17">
        <v>22291.63</v>
      </c>
      <c r="F915" s="17">
        <v>5070.5200000000004</v>
      </c>
      <c r="G915" s="17">
        <v>5070.5200000000004</v>
      </c>
    </row>
    <row r="916" spans="1:7" x14ac:dyDescent="0.3">
      <c r="A916" t="s">
        <v>39</v>
      </c>
      <c r="B916" t="s">
        <v>26</v>
      </c>
      <c r="C916" t="s">
        <v>24</v>
      </c>
      <c r="D916" t="s">
        <v>20</v>
      </c>
      <c r="E916" s="17">
        <v>23151.599999999999</v>
      </c>
      <c r="F916" s="17">
        <v>10400.540000000001</v>
      </c>
      <c r="G916" s="17">
        <v>10400.540000000001</v>
      </c>
    </row>
    <row r="917" spans="1:7" x14ac:dyDescent="0.3">
      <c r="A917" t="s">
        <v>39</v>
      </c>
      <c r="B917" t="s">
        <v>26</v>
      </c>
      <c r="C917" t="s">
        <v>24</v>
      </c>
      <c r="D917" t="s">
        <v>21</v>
      </c>
      <c r="E917" s="17">
        <v>11130.88</v>
      </c>
      <c r="F917" s="17">
        <v>3492.35</v>
      </c>
      <c r="G917" s="17">
        <v>3492.35</v>
      </c>
    </row>
    <row r="918" spans="1:7" x14ac:dyDescent="0.3">
      <c r="A918" t="s">
        <v>39</v>
      </c>
      <c r="B918" t="s">
        <v>26</v>
      </c>
      <c r="C918" t="s">
        <v>25</v>
      </c>
      <c r="D918" t="s">
        <v>18</v>
      </c>
      <c r="E918" s="17">
        <v>23542</v>
      </c>
      <c r="F918" s="17">
        <v>10353.19</v>
      </c>
      <c r="G918" s="17">
        <v>10353.19</v>
      </c>
    </row>
    <row r="919" spans="1:7" x14ac:dyDescent="0.3">
      <c r="A919" t="s">
        <v>39</v>
      </c>
      <c r="B919" t="s">
        <v>26</v>
      </c>
      <c r="C919" t="s">
        <v>25</v>
      </c>
      <c r="D919" t="s">
        <v>19</v>
      </c>
      <c r="E919" s="17">
        <v>23298.91</v>
      </c>
      <c r="F919" s="17">
        <v>9709.14</v>
      </c>
      <c r="G919" s="17">
        <v>9709.14</v>
      </c>
    </row>
    <row r="920" spans="1:7" x14ac:dyDescent="0.3">
      <c r="A920" t="s">
        <v>39</v>
      </c>
      <c r="B920" t="s">
        <v>26</v>
      </c>
      <c r="C920" t="s">
        <v>25</v>
      </c>
      <c r="D920" t="s">
        <v>20</v>
      </c>
      <c r="E920" s="17">
        <v>2213.14</v>
      </c>
      <c r="F920" s="17">
        <v>737.75</v>
      </c>
      <c r="G920" s="17">
        <v>737.75</v>
      </c>
    </row>
    <row r="921" spans="1:7" x14ac:dyDescent="0.3">
      <c r="A921" t="s">
        <v>39</v>
      </c>
      <c r="B921" t="s">
        <v>26</v>
      </c>
      <c r="C921" t="s">
        <v>25</v>
      </c>
      <c r="D921" t="s">
        <v>21</v>
      </c>
      <c r="E921" s="17">
        <v>4467.92</v>
      </c>
      <c r="F921" s="17">
        <v>1990.05</v>
      </c>
      <c r="G921" s="17">
        <v>1990.05</v>
      </c>
    </row>
    <row r="922" spans="1:7" x14ac:dyDescent="0.3">
      <c r="A922" t="s">
        <v>39</v>
      </c>
      <c r="B922" t="s">
        <v>27</v>
      </c>
      <c r="C922" t="s">
        <v>17</v>
      </c>
      <c r="D922" t="s">
        <v>18</v>
      </c>
      <c r="E922" s="17">
        <v>8544.92</v>
      </c>
      <c r="F922" s="17">
        <v>3820.07</v>
      </c>
      <c r="G922" s="17">
        <v>3820.07</v>
      </c>
    </row>
    <row r="923" spans="1:7" x14ac:dyDescent="0.3">
      <c r="A923" t="s">
        <v>39</v>
      </c>
      <c r="B923" t="s">
        <v>27</v>
      </c>
      <c r="C923" t="s">
        <v>17</v>
      </c>
      <c r="D923" t="s">
        <v>19</v>
      </c>
      <c r="E923" s="17">
        <v>14495.91</v>
      </c>
      <c r="F923" s="17">
        <v>4542.3899999999994</v>
      </c>
      <c r="G923" s="17">
        <v>4542.3900000000003</v>
      </c>
    </row>
    <row r="924" spans="1:7" x14ac:dyDescent="0.3">
      <c r="A924" t="s">
        <v>39</v>
      </c>
      <c r="B924" t="s">
        <v>27</v>
      </c>
      <c r="C924" t="s">
        <v>17</v>
      </c>
      <c r="D924" t="s">
        <v>20</v>
      </c>
      <c r="E924" s="17">
        <v>23586.89</v>
      </c>
      <c r="F924" s="17">
        <v>9665.58</v>
      </c>
      <c r="G924" s="17">
        <v>9665.58</v>
      </c>
    </row>
    <row r="925" spans="1:7" x14ac:dyDescent="0.3">
      <c r="A925" t="s">
        <v>39</v>
      </c>
      <c r="B925" t="s">
        <v>27</v>
      </c>
      <c r="C925" t="s">
        <v>17</v>
      </c>
      <c r="D925" t="s">
        <v>21</v>
      </c>
      <c r="E925" s="17">
        <v>12764.48</v>
      </c>
      <c r="F925" s="17">
        <v>2962.110000000001</v>
      </c>
      <c r="G925" s="17">
        <v>2962.11</v>
      </c>
    </row>
    <row r="926" spans="1:7" x14ac:dyDescent="0.3">
      <c r="A926" t="s">
        <v>39</v>
      </c>
      <c r="B926" t="s">
        <v>27</v>
      </c>
      <c r="C926" t="s">
        <v>22</v>
      </c>
      <c r="D926" t="s">
        <v>18</v>
      </c>
      <c r="E926" s="17">
        <v>4590.88</v>
      </c>
      <c r="F926" s="17">
        <v>1027.78</v>
      </c>
      <c r="G926" s="17">
        <v>1027.78</v>
      </c>
    </row>
    <row r="927" spans="1:7" x14ac:dyDescent="0.3">
      <c r="A927" t="s">
        <v>39</v>
      </c>
      <c r="B927" t="s">
        <v>27</v>
      </c>
      <c r="C927" t="s">
        <v>22</v>
      </c>
      <c r="D927" t="s">
        <v>19</v>
      </c>
      <c r="E927" s="17">
        <v>12555.03</v>
      </c>
      <c r="F927" s="17">
        <v>3132</v>
      </c>
      <c r="G927" s="17">
        <v>3132</v>
      </c>
    </row>
    <row r="928" spans="1:7" x14ac:dyDescent="0.3">
      <c r="A928" t="s">
        <v>39</v>
      </c>
      <c r="B928" t="s">
        <v>27</v>
      </c>
      <c r="C928" t="s">
        <v>22</v>
      </c>
      <c r="D928" t="s">
        <v>20</v>
      </c>
      <c r="E928" s="17">
        <v>6282.58</v>
      </c>
      <c r="F928" s="17">
        <v>2380.39</v>
      </c>
      <c r="G928" s="17">
        <v>2380.39</v>
      </c>
    </row>
    <row r="929" spans="1:7" x14ac:dyDescent="0.3">
      <c r="A929" t="s">
        <v>39</v>
      </c>
      <c r="B929" t="s">
        <v>27</v>
      </c>
      <c r="C929" t="s">
        <v>22</v>
      </c>
      <c r="D929" t="s">
        <v>21</v>
      </c>
      <c r="E929" s="17">
        <v>20187.66</v>
      </c>
      <c r="F929" s="17">
        <v>6728.57</v>
      </c>
      <c r="G929" s="17">
        <v>6728.57</v>
      </c>
    </row>
    <row r="930" spans="1:7" x14ac:dyDescent="0.3">
      <c r="A930" t="s">
        <v>39</v>
      </c>
      <c r="B930" t="s">
        <v>27</v>
      </c>
      <c r="C930" t="s">
        <v>23</v>
      </c>
      <c r="D930" t="s">
        <v>18</v>
      </c>
      <c r="E930" s="17">
        <v>19417.5</v>
      </c>
      <c r="F930" s="17">
        <v>4415.2200000000012</v>
      </c>
      <c r="G930" s="17">
        <v>4415.22</v>
      </c>
    </row>
    <row r="931" spans="1:7" x14ac:dyDescent="0.3">
      <c r="A931" t="s">
        <v>39</v>
      </c>
      <c r="B931" t="s">
        <v>27</v>
      </c>
      <c r="C931" t="s">
        <v>23</v>
      </c>
      <c r="D931" t="s">
        <v>19</v>
      </c>
      <c r="E931" s="17">
        <v>21691.37</v>
      </c>
      <c r="F931" s="17">
        <v>9158.1299999999992</v>
      </c>
      <c r="G931" s="17">
        <v>9158.1299999999992</v>
      </c>
    </row>
    <row r="932" spans="1:7" x14ac:dyDescent="0.3">
      <c r="A932" t="s">
        <v>39</v>
      </c>
      <c r="B932" t="s">
        <v>27</v>
      </c>
      <c r="C932" t="s">
        <v>23</v>
      </c>
      <c r="D932" t="s">
        <v>20</v>
      </c>
      <c r="E932" s="17">
        <v>21020.77</v>
      </c>
      <c r="F932" s="17">
        <v>6708.27</v>
      </c>
      <c r="G932" s="17">
        <v>6708.27</v>
      </c>
    </row>
    <row r="933" spans="1:7" x14ac:dyDescent="0.3">
      <c r="A933" t="s">
        <v>39</v>
      </c>
      <c r="B933" t="s">
        <v>27</v>
      </c>
      <c r="C933" t="s">
        <v>23</v>
      </c>
      <c r="D933" t="s">
        <v>21</v>
      </c>
      <c r="E933" s="17">
        <v>3994.97</v>
      </c>
      <c r="F933" s="17">
        <v>1440.98</v>
      </c>
      <c r="G933" s="17">
        <v>1440.98</v>
      </c>
    </row>
    <row r="934" spans="1:7" x14ac:dyDescent="0.3">
      <c r="A934" t="s">
        <v>39</v>
      </c>
      <c r="B934" t="s">
        <v>27</v>
      </c>
      <c r="C934" t="s">
        <v>24</v>
      </c>
      <c r="D934" t="s">
        <v>18</v>
      </c>
      <c r="E934" s="17">
        <v>6249.97</v>
      </c>
      <c r="F934" s="17">
        <v>1362.28</v>
      </c>
      <c r="G934" s="17">
        <v>1362.28</v>
      </c>
    </row>
    <row r="935" spans="1:7" x14ac:dyDescent="0.3">
      <c r="A935" t="s">
        <v>39</v>
      </c>
      <c r="B935" t="s">
        <v>27</v>
      </c>
      <c r="C935" t="s">
        <v>24</v>
      </c>
      <c r="D935" t="s">
        <v>19</v>
      </c>
      <c r="E935" s="17">
        <v>9442.84</v>
      </c>
      <c r="F935" s="17">
        <v>2332.12</v>
      </c>
      <c r="G935" s="17">
        <v>2332.12</v>
      </c>
    </row>
    <row r="936" spans="1:7" x14ac:dyDescent="0.3">
      <c r="A936" t="s">
        <v>39</v>
      </c>
      <c r="B936" t="s">
        <v>27</v>
      </c>
      <c r="C936" t="s">
        <v>24</v>
      </c>
      <c r="D936" t="s">
        <v>20</v>
      </c>
      <c r="E936" s="17">
        <v>7998.06</v>
      </c>
      <c r="F936" s="17">
        <v>1948.25</v>
      </c>
      <c r="G936" s="17">
        <v>1948.25</v>
      </c>
    </row>
    <row r="937" spans="1:7" x14ac:dyDescent="0.3">
      <c r="A937" t="s">
        <v>39</v>
      </c>
      <c r="B937" t="s">
        <v>27</v>
      </c>
      <c r="C937" t="s">
        <v>24</v>
      </c>
      <c r="D937" t="s">
        <v>21</v>
      </c>
      <c r="E937" s="17">
        <v>19336.400000000001</v>
      </c>
      <c r="F937" s="17">
        <v>8461.4</v>
      </c>
      <c r="G937" s="17">
        <v>8461.4</v>
      </c>
    </row>
    <row r="938" spans="1:7" x14ac:dyDescent="0.3">
      <c r="A938" t="s">
        <v>39</v>
      </c>
      <c r="B938" t="s">
        <v>27</v>
      </c>
      <c r="C938" t="s">
        <v>25</v>
      </c>
      <c r="D938" t="s">
        <v>18</v>
      </c>
      <c r="E938" s="17">
        <v>8944.75</v>
      </c>
      <c r="F938" s="17">
        <v>3355.88</v>
      </c>
      <c r="G938" s="17">
        <v>3355.88</v>
      </c>
    </row>
    <row r="939" spans="1:7" x14ac:dyDescent="0.3">
      <c r="A939" t="s">
        <v>39</v>
      </c>
      <c r="B939" t="s">
        <v>27</v>
      </c>
      <c r="C939" t="s">
        <v>25</v>
      </c>
      <c r="D939" t="s">
        <v>19</v>
      </c>
      <c r="E939" s="17">
        <v>2263.02</v>
      </c>
      <c r="F939" s="17">
        <v>806.75</v>
      </c>
      <c r="G939" s="17">
        <v>806.75</v>
      </c>
    </row>
    <row r="940" spans="1:7" x14ac:dyDescent="0.3">
      <c r="A940" t="s">
        <v>39</v>
      </c>
      <c r="B940" t="s">
        <v>27</v>
      </c>
      <c r="C940" t="s">
        <v>25</v>
      </c>
      <c r="D940" t="s">
        <v>20</v>
      </c>
      <c r="E940" s="17">
        <v>17933.68</v>
      </c>
      <c r="F940" s="17">
        <v>3528.869999999999</v>
      </c>
      <c r="G940" s="17">
        <v>3528.87</v>
      </c>
    </row>
    <row r="941" spans="1:7" x14ac:dyDescent="0.3">
      <c r="A941" t="s">
        <v>39</v>
      </c>
      <c r="B941" t="s">
        <v>27</v>
      </c>
      <c r="C941" t="s">
        <v>25</v>
      </c>
      <c r="D941" t="s">
        <v>21</v>
      </c>
      <c r="E941" s="17">
        <v>4719.17</v>
      </c>
      <c r="F941" s="17">
        <v>1240.3800000000001</v>
      </c>
      <c r="G941" s="17">
        <v>1240.3800000000001</v>
      </c>
    </row>
    <row r="942" spans="1:7" x14ac:dyDescent="0.3">
      <c r="A942" t="s">
        <v>39</v>
      </c>
      <c r="B942" t="s">
        <v>28</v>
      </c>
      <c r="C942" t="s">
        <v>17</v>
      </c>
      <c r="D942" t="s">
        <v>18</v>
      </c>
      <c r="E942" s="17">
        <v>11324.58</v>
      </c>
      <c r="F942" s="17">
        <v>3574.95</v>
      </c>
      <c r="G942" s="17">
        <v>3574.95</v>
      </c>
    </row>
    <row r="943" spans="1:7" x14ac:dyDescent="0.3">
      <c r="A943" t="s">
        <v>39</v>
      </c>
      <c r="B943" t="s">
        <v>28</v>
      </c>
      <c r="C943" t="s">
        <v>17</v>
      </c>
      <c r="D943" t="s">
        <v>19</v>
      </c>
      <c r="E943" s="17">
        <v>22587.72</v>
      </c>
      <c r="F943" s="17">
        <v>8356.56</v>
      </c>
      <c r="G943" s="17">
        <v>8356.56</v>
      </c>
    </row>
    <row r="944" spans="1:7" x14ac:dyDescent="0.3">
      <c r="A944" t="s">
        <v>39</v>
      </c>
      <c r="B944" t="s">
        <v>28</v>
      </c>
      <c r="C944" t="s">
        <v>17</v>
      </c>
      <c r="D944" t="s">
        <v>20</v>
      </c>
      <c r="E944" s="17">
        <v>9152.49</v>
      </c>
      <c r="F944" s="17">
        <v>1937.6</v>
      </c>
      <c r="G944" s="17">
        <v>1937.6</v>
      </c>
    </row>
    <row r="945" spans="1:7" x14ac:dyDescent="0.3">
      <c r="A945" t="s">
        <v>39</v>
      </c>
      <c r="B945" t="s">
        <v>28</v>
      </c>
      <c r="C945" t="s">
        <v>17</v>
      </c>
      <c r="D945" t="s">
        <v>21</v>
      </c>
      <c r="E945" s="17">
        <v>23071</v>
      </c>
      <c r="F945" s="17">
        <v>5990.619999999999</v>
      </c>
      <c r="G945" s="17">
        <v>5990.62</v>
      </c>
    </row>
    <row r="946" spans="1:7" x14ac:dyDescent="0.3">
      <c r="A946" t="s">
        <v>39</v>
      </c>
      <c r="B946" t="s">
        <v>28</v>
      </c>
      <c r="C946" t="s">
        <v>22</v>
      </c>
      <c r="D946" t="s">
        <v>18</v>
      </c>
      <c r="E946" s="17">
        <v>16136.39</v>
      </c>
      <c r="F946" s="17">
        <v>3859.26</v>
      </c>
      <c r="G946" s="17">
        <v>3859.26</v>
      </c>
    </row>
    <row r="947" spans="1:7" x14ac:dyDescent="0.3">
      <c r="A947" t="s">
        <v>39</v>
      </c>
      <c r="B947" t="s">
        <v>28</v>
      </c>
      <c r="C947" t="s">
        <v>22</v>
      </c>
      <c r="D947" t="s">
        <v>19</v>
      </c>
      <c r="E947" s="17">
        <v>5072.08</v>
      </c>
      <c r="F947" s="17">
        <v>1122.76</v>
      </c>
      <c r="G947" s="17">
        <v>1122.76</v>
      </c>
    </row>
    <row r="948" spans="1:7" x14ac:dyDescent="0.3">
      <c r="A948" t="s">
        <v>39</v>
      </c>
      <c r="B948" t="s">
        <v>28</v>
      </c>
      <c r="C948" t="s">
        <v>22</v>
      </c>
      <c r="D948" t="s">
        <v>20</v>
      </c>
      <c r="E948" s="17">
        <v>19197.900000000001</v>
      </c>
      <c r="F948" s="17">
        <v>6595.43</v>
      </c>
      <c r="G948" s="17">
        <v>6595.43</v>
      </c>
    </row>
    <row r="949" spans="1:7" x14ac:dyDescent="0.3">
      <c r="A949" t="s">
        <v>39</v>
      </c>
      <c r="B949" t="s">
        <v>28</v>
      </c>
      <c r="C949" t="s">
        <v>22</v>
      </c>
      <c r="D949" t="s">
        <v>21</v>
      </c>
      <c r="E949" s="17">
        <v>11564.45</v>
      </c>
      <c r="F949" s="17">
        <v>3796.5300000000011</v>
      </c>
      <c r="G949" s="17">
        <v>3796.53</v>
      </c>
    </row>
    <row r="950" spans="1:7" x14ac:dyDescent="0.3">
      <c r="A950" t="s">
        <v>39</v>
      </c>
      <c r="B950" t="s">
        <v>28</v>
      </c>
      <c r="C950" t="s">
        <v>23</v>
      </c>
      <c r="D950" t="s">
        <v>18</v>
      </c>
      <c r="E950" s="17">
        <v>12829.05</v>
      </c>
      <c r="F950" s="17">
        <v>4171.1100000000006</v>
      </c>
      <c r="G950" s="17">
        <v>4171.1099999999997</v>
      </c>
    </row>
    <row r="951" spans="1:7" x14ac:dyDescent="0.3">
      <c r="A951" t="s">
        <v>39</v>
      </c>
      <c r="B951" t="s">
        <v>28</v>
      </c>
      <c r="C951" t="s">
        <v>23</v>
      </c>
      <c r="D951" t="s">
        <v>19</v>
      </c>
      <c r="E951" s="17">
        <v>17274.169999999998</v>
      </c>
      <c r="F951" s="17">
        <v>4128.0299999999988</v>
      </c>
      <c r="G951" s="17">
        <v>4128.03</v>
      </c>
    </row>
    <row r="952" spans="1:7" x14ac:dyDescent="0.3">
      <c r="A952" t="s">
        <v>39</v>
      </c>
      <c r="B952" t="s">
        <v>28</v>
      </c>
      <c r="C952" t="s">
        <v>23</v>
      </c>
      <c r="D952" t="s">
        <v>20</v>
      </c>
      <c r="E952" s="17">
        <v>7691.7</v>
      </c>
      <c r="F952" s="17">
        <v>2951.92</v>
      </c>
      <c r="G952" s="17">
        <v>2951.92</v>
      </c>
    </row>
    <row r="953" spans="1:7" x14ac:dyDescent="0.3">
      <c r="A953" t="s">
        <v>39</v>
      </c>
      <c r="B953" t="s">
        <v>28</v>
      </c>
      <c r="C953" t="s">
        <v>23</v>
      </c>
      <c r="D953" t="s">
        <v>21</v>
      </c>
      <c r="E953" s="17">
        <v>22082.11</v>
      </c>
      <c r="F953" s="17">
        <v>4462.9000000000005</v>
      </c>
      <c r="G953" s="17">
        <v>4462.8999999999996</v>
      </c>
    </row>
    <row r="954" spans="1:7" x14ac:dyDescent="0.3">
      <c r="A954" t="s">
        <v>39</v>
      </c>
      <c r="B954" t="s">
        <v>28</v>
      </c>
      <c r="C954" t="s">
        <v>24</v>
      </c>
      <c r="D954" t="s">
        <v>18</v>
      </c>
      <c r="E954" s="17">
        <v>12275.2</v>
      </c>
      <c r="F954" s="17">
        <v>4542.03</v>
      </c>
      <c r="G954" s="17">
        <v>4542.03</v>
      </c>
    </row>
    <row r="955" spans="1:7" x14ac:dyDescent="0.3">
      <c r="A955" t="s">
        <v>39</v>
      </c>
      <c r="B955" t="s">
        <v>28</v>
      </c>
      <c r="C955" t="s">
        <v>24</v>
      </c>
      <c r="D955" t="s">
        <v>19</v>
      </c>
      <c r="E955" s="17">
        <v>3796.36</v>
      </c>
      <c r="F955" s="17">
        <v>1261.6300000000001</v>
      </c>
      <c r="G955" s="17">
        <v>1261.6300000000001</v>
      </c>
    </row>
    <row r="956" spans="1:7" x14ac:dyDescent="0.3">
      <c r="A956" t="s">
        <v>39</v>
      </c>
      <c r="B956" t="s">
        <v>28</v>
      </c>
      <c r="C956" t="s">
        <v>24</v>
      </c>
      <c r="D956" t="s">
        <v>20</v>
      </c>
      <c r="E956" s="17">
        <v>3420.44</v>
      </c>
      <c r="F956" s="17">
        <v>1121.44</v>
      </c>
      <c r="G956" s="17">
        <v>1121.44</v>
      </c>
    </row>
    <row r="957" spans="1:7" x14ac:dyDescent="0.3">
      <c r="A957" t="s">
        <v>39</v>
      </c>
      <c r="B957" t="s">
        <v>28</v>
      </c>
      <c r="C957" t="s">
        <v>24</v>
      </c>
      <c r="D957" t="s">
        <v>21</v>
      </c>
      <c r="E957" s="17">
        <v>13626.2</v>
      </c>
      <c r="F957" s="17">
        <v>4559.7299999999996</v>
      </c>
      <c r="G957" s="17">
        <v>4559.7299999999996</v>
      </c>
    </row>
    <row r="958" spans="1:7" x14ac:dyDescent="0.3">
      <c r="A958" t="s">
        <v>39</v>
      </c>
      <c r="B958" t="s">
        <v>28</v>
      </c>
      <c r="C958" t="s">
        <v>25</v>
      </c>
      <c r="D958" t="s">
        <v>18</v>
      </c>
      <c r="E958" s="17">
        <v>5446.6</v>
      </c>
      <c r="F958" s="17">
        <v>1462.91</v>
      </c>
      <c r="G958" s="17">
        <v>1462.91</v>
      </c>
    </row>
    <row r="959" spans="1:7" x14ac:dyDescent="0.3">
      <c r="A959" t="s">
        <v>39</v>
      </c>
      <c r="B959" t="s">
        <v>28</v>
      </c>
      <c r="C959" t="s">
        <v>25</v>
      </c>
      <c r="D959" t="s">
        <v>19</v>
      </c>
      <c r="E959" s="17">
        <v>13967.86</v>
      </c>
      <c r="F959" s="17">
        <v>2952.59</v>
      </c>
      <c r="G959" s="17">
        <v>2952.59</v>
      </c>
    </row>
    <row r="960" spans="1:7" x14ac:dyDescent="0.3">
      <c r="A960" t="s">
        <v>39</v>
      </c>
      <c r="B960" t="s">
        <v>28</v>
      </c>
      <c r="C960" t="s">
        <v>25</v>
      </c>
      <c r="D960" t="s">
        <v>20</v>
      </c>
      <c r="E960" s="17">
        <v>6724.23</v>
      </c>
      <c r="F960" s="17">
        <v>2269.09</v>
      </c>
      <c r="G960" s="17">
        <v>2269.09</v>
      </c>
    </row>
    <row r="961" spans="1:7" x14ac:dyDescent="0.3">
      <c r="A961" t="s">
        <v>39</v>
      </c>
      <c r="B961" t="s">
        <v>28</v>
      </c>
      <c r="C961" t="s">
        <v>25</v>
      </c>
      <c r="D961" t="s">
        <v>21</v>
      </c>
      <c r="E961" s="17">
        <v>4091.66</v>
      </c>
      <c r="F961" s="17">
        <v>1300.3399999999999</v>
      </c>
      <c r="G961" s="17">
        <v>1300.3399999999999</v>
      </c>
    </row>
    <row r="962" spans="1:7" x14ac:dyDescent="0.3">
      <c r="A962" t="s">
        <v>40</v>
      </c>
      <c r="B962" t="s">
        <v>16</v>
      </c>
      <c r="C962" t="s">
        <v>17</v>
      </c>
      <c r="D962" t="s">
        <v>18</v>
      </c>
      <c r="E962" s="17">
        <v>20599.919999999998</v>
      </c>
      <c r="F962" s="17">
        <v>6229.9700000000012</v>
      </c>
      <c r="G962" s="17">
        <v>6229.97</v>
      </c>
    </row>
    <row r="963" spans="1:7" x14ac:dyDescent="0.3">
      <c r="A963" t="s">
        <v>40</v>
      </c>
      <c r="B963" t="s">
        <v>16</v>
      </c>
      <c r="C963" t="s">
        <v>17</v>
      </c>
      <c r="D963" t="s">
        <v>19</v>
      </c>
      <c r="E963" s="17">
        <v>13804.7</v>
      </c>
      <c r="F963" s="17">
        <v>4187.4599999999991</v>
      </c>
      <c r="G963" s="17">
        <v>4187.46</v>
      </c>
    </row>
    <row r="964" spans="1:7" x14ac:dyDescent="0.3">
      <c r="A964" t="s">
        <v>40</v>
      </c>
      <c r="B964" t="s">
        <v>16</v>
      </c>
      <c r="C964" t="s">
        <v>17</v>
      </c>
      <c r="D964" t="s">
        <v>20</v>
      </c>
      <c r="E964" s="17">
        <v>3327.95</v>
      </c>
      <c r="F964" s="17">
        <v>1014.5</v>
      </c>
      <c r="G964" s="17">
        <v>1014.5</v>
      </c>
    </row>
    <row r="965" spans="1:7" x14ac:dyDescent="0.3">
      <c r="A965" t="s">
        <v>40</v>
      </c>
      <c r="B965" t="s">
        <v>16</v>
      </c>
      <c r="C965" t="s">
        <v>17</v>
      </c>
      <c r="D965" t="s">
        <v>21</v>
      </c>
      <c r="E965" s="17">
        <v>20559.05</v>
      </c>
      <c r="F965" s="17">
        <v>7715.52</v>
      </c>
      <c r="G965" s="17">
        <v>7715.52</v>
      </c>
    </row>
    <row r="966" spans="1:7" x14ac:dyDescent="0.3">
      <c r="A966" t="s">
        <v>40</v>
      </c>
      <c r="B966" t="s">
        <v>16</v>
      </c>
      <c r="C966" t="s">
        <v>22</v>
      </c>
      <c r="D966" t="s">
        <v>18</v>
      </c>
      <c r="E966" s="17">
        <v>11106.82</v>
      </c>
      <c r="F966" s="17">
        <v>4447.6400000000003</v>
      </c>
      <c r="G966" s="17">
        <v>4447.6400000000003</v>
      </c>
    </row>
    <row r="967" spans="1:7" x14ac:dyDescent="0.3">
      <c r="A967" t="s">
        <v>40</v>
      </c>
      <c r="B967" t="s">
        <v>16</v>
      </c>
      <c r="C967" t="s">
        <v>22</v>
      </c>
      <c r="D967" t="s">
        <v>19</v>
      </c>
      <c r="E967" s="17">
        <v>19153.5</v>
      </c>
      <c r="F967" s="17">
        <v>6438.33</v>
      </c>
      <c r="G967" s="17">
        <v>6438.33</v>
      </c>
    </row>
    <row r="968" spans="1:7" x14ac:dyDescent="0.3">
      <c r="A968" t="s">
        <v>40</v>
      </c>
      <c r="B968" t="s">
        <v>16</v>
      </c>
      <c r="C968" t="s">
        <v>22</v>
      </c>
      <c r="D968" t="s">
        <v>20</v>
      </c>
      <c r="E968" s="17">
        <v>3041.67</v>
      </c>
      <c r="F968" s="17">
        <v>830.44999999999982</v>
      </c>
      <c r="G968" s="17">
        <v>830.45</v>
      </c>
    </row>
    <row r="969" spans="1:7" x14ac:dyDescent="0.3">
      <c r="A969" t="s">
        <v>40</v>
      </c>
      <c r="B969" t="s">
        <v>16</v>
      </c>
      <c r="C969" t="s">
        <v>22</v>
      </c>
      <c r="D969" t="s">
        <v>21</v>
      </c>
      <c r="E969" s="17">
        <v>3466.48</v>
      </c>
      <c r="F969" s="17">
        <v>1554.42</v>
      </c>
      <c r="G969" s="17">
        <v>1554.42</v>
      </c>
    </row>
    <row r="970" spans="1:7" x14ac:dyDescent="0.3">
      <c r="A970" t="s">
        <v>40</v>
      </c>
      <c r="B970" t="s">
        <v>16</v>
      </c>
      <c r="C970" t="s">
        <v>23</v>
      </c>
      <c r="D970" t="s">
        <v>18</v>
      </c>
      <c r="E970" s="17">
        <v>23495.4</v>
      </c>
      <c r="F970" s="17">
        <v>4667.010000000002</v>
      </c>
      <c r="G970" s="17">
        <v>4667.01</v>
      </c>
    </row>
    <row r="971" spans="1:7" x14ac:dyDescent="0.3">
      <c r="A971" t="s">
        <v>40</v>
      </c>
      <c r="B971" t="s">
        <v>16</v>
      </c>
      <c r="C971" t="s">
        <v>23</v>
      </c>
      <c r="D971" t="s">
        <v>19</v>
      </c>
      <c r="E971" s="17">
        <v>23476.84</v>
      </c>
      <c r="F971" s="17">
        <v>4426.9900000000016</v>
      </c>
      <c r="G971" s="17">
        <v>4426.99</v>
      </c>
    </row>
    <row r="972" spans="1:7" x14ac:dyDescent="0.3">
      <c r="A972" t="s">
        <v>40</v>
      </c>
      <c r="B972" t="s">
        <v>16</v>
      </c>
      <c r="C972" t="s">
        <v>23</v>
      </c>
      <c r="D972" t="s">
        <v>20</v>
      </c>
      <c r="E972" s="17">
        <v>11403.94</v>
      </c>
      <c r="F972" s="17">
        <v>4420.42</v>
      </c>
      <c r="G972" s="17">
        <v>4420.42</v>
      </c>
    </row>
    <row r="973" spans="1:7" x14ac:dyDescent="0.3">
      <c r="A973" t="s">
        <v>40</v>
      </c>
      <c r="B973" t="s">
        <v>16</v>
      </c>
      <c r="C973" t="s">
        <v>23</v>
      </c>
      <c r="D973" t="s">
        <v>21</v>
      </c>
      <c r="E973" s="17">
        <v>19614.04</v>
      </c>
      <c r="F973" s="17">
        <v>8711.58</v>
      </c>
      <c r="G973" s="17">
        <v>8711.58</v>
      </c>
    </row>
    <row r="974" spans="1:7" x14ac:dyDescent="0.3">
      <c r="A974" t="s">
        <v>40</v>
      </c>
      <c r="B974" t="s">
        <v>16</v>
      </c>
      <c r="C974" t="s">
        <v>24</v>
      </c>
      <c r="D974" t="s">
        <v>18</v>
      </c>
      <c r="E974" s="17">
        <v>16855.259999999998</v>
      </c>
      <c r="F974" s="17">
        <v>4946.9799999999996</v>
      </c>
      <c r="G974" s="17">
        <v>4946.9799999999996</v>
      </c>
    </row>
    <row r="975" spans="1:7" x14ac:dyDescent="0.3">
      <c r="A975" t="s">
        <v>40</v>
      </c>
      <c r="B975" t="s">
        <v>16</v>
      </c>
      <c r="C975" t="s">
        <v>24</v>
      </c>
      <c r="D975" t="s">
        <v>19</v>
      </c>
      <c r="E975" s="17">
        <v>24835.7</v>
      </c>
      <c r="F975" s="17">
        <v>7035.2000000000007</v>
      </c>
      <c r="G975" s="17">
        <v>7035.2</v>
      </c>
    </row>
    <row r="976" spans="1:7" x14ac:dyDescent="0.3">
      <c r="A976" t="s">
        <v>40</v>
      </c>
      <c r="B976" t="s">
        <v>16</v>
      </c>
      <c r="C976" t="s">
        <v>24</v>
      </c>
      <c r="D976" t="s">
        <v>20</v>
      </c>
      <c r="E976" s="17">
        <v>22001.27</v>
      </c>
      <c r="F976" s="17">
        <v>9346.74</v>
      </c>
      <c r="G976" s="17">
        <v>9346.74</v>
      </c>
    </row>
    <row r="977" spans="1:7" x14ac:dyDescent="0.3">
      <c r="A977" t="s">
        <v>40</v>
      </c>
      <c r="B977" t="s">
        <v>16</v>
      </c>
      <c r="C977" t="s">
        <v>24</v>
      </c>
      <c r="D977" t="s">
        <v>21</v>
      </c>
      <c r="E977" s="17">
        <v>10639.85</v>
      </c>
      <c r="F977" s="17">
        <v>3876.49</v>
      </c>
      <c r="G977" s="17">
        <v>3876.49</v>
      </c>
    </row>
    <row r="978" spans="1:7" x14ac:dyDescent="0.3">
      <c r="A978" t="s">
        <v>40</v>
      </c>
      <c r="B978" t="s">
        <v>16</v>
      </c>
      <c r="C978" t="s">
        <v>25</v>
      </c>
      <c r="D978" t="s">
        <v>18</v>
      </c>
      <c r="E978" s="17">
        <v>17221.23</v>
      </c>
      <c r="F978" s="17">
        <v>5607.42</v>
      </c>
      <c r="G978" s="17">
        <v>5607.42</v>
      </c>
    </row>
    <row r="979" spans="1:7" x14ac:dyDescent="0.3">
      <c r="A979" t="s">
        <v>40</v>
      </c>
      <c r="B979" t="s">
        <v>16</v>
      </c>
      <c r="C979" t="s">
        <v>25</v>
      </c>
      <c r="D979" t="s">
        <v>19</v>
      </c>
      <c r="E979" s="17">
        <v>17031.28</v>
      </c>
      <c r="F979" s="17">
        <v>4664.83</v>
      </c>
      <c r="G979" s="17">
        <v>4664.83</v>
      </c>
    </row>
    <row r="980" spans="1:7" x14ac:dyDescent="0.3">
      <c r="A980" t="s">
        <v>40</v>
      </c>
      <c r="B980" t="s">
        <v>16</v>
      </c>
      <c r="C980" t="s">
        <v>25</v>
      </c>
      <c r="D980" t="s">
        <v>20</v>
      </c>
      <c r="E980" s="17">
        <v>6104.89</v>
      </c>
      <c r="F980" s="17">
        <v>1984.45</v>
      </c>
      <c r="G980" s="17">
        <v>1984.45</v>
      </c>
    </row>
    <row r="981" spans="1:7" x14ac:dyDescent="0.3">
      <c r="A981" t="s">
        <v>40</v>
      </c>
      <c r="B981" t="s">
        <v>16</v>
      </c>
      <c r="C981" t="s">
        <v>25</v>
      </c>
      <c r="D981" t="s">
        <v>21</v>
      </c>
      <c r="E981" s="17">
        <v>14163.38</v>
      </c>
      <c r="F981" s="17">
        <v>5332.82</v>
      </c>
      <c r="G981" s="17">
        <v>5332.82</v>
      </c>
    </row>
    <row r="982" spans="1:7" x14ac:dyDescent="0.3">
      <c r="A982" t="s">
        <v>40</v>
      </c>
      <c r="B982" t="s">
        <v>26</v>
      </c>
      <c r="C982" t="s">
        <v>17</v>
      </c>
      <c r="D982" t="s">
        <v>18</v>
      </c>
      <c r="E982" s="17">
        <v>7121.87</v>
      </c>
      <c r="F982" s="17">
        <v>1288.6199999999999</v>
      </c>
      <c r="G982" s="17">
        <v>1288.6199999999999</v>
      </c>
    </row>
    <row r="983" spans="1:7" x14ac:dyDescent="0.3">
      <c r="A983" t="s">
        <v>40</v>
      </c>
      <c r="B983" t="s">
        <v>26</v>
      </c>
      <c r="C983" t="s">
        <v>17</v>
      </c>
      <c r="D983" t="s">
        <v>19</v>
      </c>
      <c r="E983" s="17">
        <v>2522.91</v>
      </c>
      <c r="F983" s="17">
        <v>657.36000000000013</v>
      </c>
      <c r="G983" s="17">
        <v>657.36</v>
      </c>
    </row>
    <row r="984" spans="1:7" x14ac:dyDescent="0.3">
      <c r="A984" t="s">
        <v>40</v>
      </c>
      <c r="B984" t="s">
        <v>26</v>
      </c>
      <c r="C984" t="s">
        <v>17</v>
      </c>
      <c r="D984" t="s">
        <v>20</v>
      </c>
      <c r="E984" s="17">
        <v>17490.5</v>
      </c>
      <c r="F984" s="17">
        <v>5719.4</v>
      </c>
      <c r="G984" s="17">
        <v>5719.4</v>
      </c>
    </row>
    <row r="985" spans="1:7" x14ac:dyDescent="0.3">
      <c r="A985" t="s">
        <v>40</v>
      </c>
      <c r="B985" t="s">
        <v>26</v>
      </c>
      <c r="C985" t="s">
        <v>17</v>
      </c>
      <c r="D985" t="s">
        <v>21</v>
      </c>
      <c r="E985" s="17">
        <v>14234.47</v>
      </c>
      <c r="F985" s="17">
        <v>5726.6299999999992</v>
      </c>
      <c r="G985" s="17">
        <v>5726.63</v>
      </c>
    </row>
    <row r="986" spans="1:7" x14ac:dyDescent="0.3">
      <c r="A986" t="s">
        <v>40</v>
      </c>
      <c r="B986" t="s">
        <v>26</v>
      </c>
      <c r="C986" t="s">
        <v>22</v>
      </c>
      <c r="D986" t="s">
        <v>18</v>
      </c>
      <c r="E986" s="17">
        <v>7692.78</v>
      </c>
      <c r="F986" s="17">
        <v>2103.69</v>
      </c>
      <c r="G986" s="17">
        <v>2103.69</v>
      </c>
    </row>
    <row r="987" spans="1:7" x14ac:dyDescent="0.3">
      <c r="A987" t="s">
        <v>40</v>
      </c>
      <c r="B987" t="s">
        <v>26</v>
      </c>
      <c r="C987" t="s">
        <v>22</v>
      </c>
      <c r="D987" t="s">
        <v>19</v>
      </c>
      <c r="E987" s="17">
        <v>8339.94</v>
      </c>
      <c r="F987" s="17">
        <v>3612.0300000000011</v>
      </c>
      <c r="G987" s="17">
        <v>3612.03</v>
      </c>
    </row>
    <row r="988" spans="1:7" x14ac:dyDescent="0.3">
      <c r="A988" t="s">
        <v>40</v>
      </c>
      <c r="B988" t="s">
        <v>26</v>
      </c>
      <c r="C988" t="s">
        <v>22</v>
      </c>
      <c r="D988" t="s">
        <v>20</v>
      </c>
      <c r="E988" s="17">
        <v>18675.55</v>
      </c>
      <c r="F988" s="17">
        <v>3930.610000000001</v>
      </c>
      <c r="G988" s="17">
        <v>3930.61</v>
      </c>
    </row>
    <row r="989" spans="1:7" x14ac:dyDescent="0.3">
      <c r="A989" t="s">
        <v>40</v>
      </c>
      <c r="B989" t="s">
        <v>26</v>
      </c>
      <c r="C989" t="s">
        <v>22</v>
      </c>
      <c r="D989" t="s">
        <v>21</v>
      </c>
      <c r="E989" s="17">
        <v>20618</v>
      </c>
      <c r="F989" s="17">
        <v>6045.09</v>
      </c>
      <c r="G989" s="17">
        <v>6045.09</v>
      </c>
    </row>
    <row r="990" spans="1:7" x14ac:dyDescent="0.3">
      <c r="A990" t="s">
        <v>40</v>
      </c>
      <c r="B990" t="s">
        <v>26</v>
      </c>
      <c r="C990" t="s">
        <v>23</v>
      </c>
      <c r="D990" t="s">
        <v>18</v>
      </c>
      <c r="E990" s="17">
        <v>19619.23</v>
      </c>
      <c r="F990" s="17">
        <v>8212.89</v>
      </c>
      <c r="G990" s="17">
        <v>8212.89</v>
      </c>
    </row>
    <row r="991" spans="1:7" x14ac:dyDescent="0.3">
      <c r="A991" t="s">
        <v>40</v>
      </c>
      <c r="B991" t="s">
        <v>26</v>
      </c>
      <c r="C991" t="s">
        <v>23</v>
      </c>
      <c r="D991" t="s">
        <v>19</v>
      </c>
      <c r="E991" s="17">
        <v>2359.85</v>
      </c>
      <c r="F991" s="17">
        <v>556.07999999999993</v>
      </c>
      <c r="G991" s="17">
        <v>556.08000000000004</v>
      </c>
    </row>
    <row r="992" spans="1:7" x14ac:dyDescent="0.3">
      <c r="A992" t="s">
        <v>40</v>
      </c>
      <c r="B992" t="s">
        <v>26</v>
      </c>
      <c r="C992" t="s">
        <v>23</v>
      </c>
      <c r="D992" t="s">
        <v>20</v>
      </c>
      <c r="E992" s="17">
        <v>4320.62</v>
      </c>
      <c r="F992" s="17">
        <v>816.88000000000011</v>
      </c>
      <c r="G992" s="17">
        <v>816.88</v>
      </c>
    </row>
    <row r="993" spans="1:7" x14ac:dyDescent="0.3">
      <c r="A993" t="s">
        <v>40</v>
      </c>
      <c r="B993" t="s">
        <v>26</v>
      </c>
      <c r="C993" t="s">
        <v>23</v>
      </c>
      <c r="D993" t="s">
        <v>21</v>
      </c>
      <c r="E993" s="17">
        <v>15749.05</v>
      </c>
      <c r="F993" s="17">
        <v>5825.369999999999</v>
      </c>
      <c r="G993" s="17">
        <v>5825.37</v>
      </c>
    </row>
    <row r="994" spans="1:7" x14ac:dyDescent="0.3">
      <c r="A994" t="s">
        <v>40</v>
      </c>
      <c r="B994" t="s">
        <v>26</v>
      </c>
      <c r="C994" t="s">
        <v>24</v>
      </c>
      <c r="D994" t="s">
        <v>18</v>
      </c>
      <c r="E994" s="17">
        <v>3119.56</v>
      </c>
      <c r="F994" s="17">
        <v>1185.26</v>
      </c>
      <c r="G994" s="17">
        <v>1185.26</v>
      </c>
    </row>
    <row r="995" spans="1:7" x14ac:dyDescent="0.3">
      <c r="A995" t="s">
        <v>40</v>
      </c>
      <c r="B995" t="s">
        <v>26</v>
      </c>
      <c r="C995" t="s">
        <v>24</v>
      </c>
      <c r="D995" t="s">
        <v>19</v>
      </c>
      <c r="E995" s="17">
        <v>11252.1</v>
      </c>
      <c r="F995" s="17">
        <v>2737.32</v>
      </c>
      <c r="G995" s="17">
        <v>2737.32</v>
      </c>
    </row>
    <row r="996" spans="1:7" x14ac:dyDescent="0.3">
      <c r="A996" t="s">
        <v>40</v>
      </c>
      <c r="B996" t="s">
        <v>26</v>
      </c>
      <c r="C996" t="s">
        <v>24</v>
      </c>
      <c r="D996" t="s">
        <v>20</v>
      </c>
      <c r="E996" s="17">
        <v>6997.19</v>
      </c>
      <c r="F996" s="17">
        <v>2891.29</v>
      </c>
      <c r="G996" s="17">
        <v>2891.29</v>
      </c>
    </row>
    <row r="997" spans="1:7" x14ac:dyDescent="0.3">
      <c r="A997" t="s">
        <v>40</v>
      </c>
      <c r="B997" t="s">
        <v>26</v>
      </c>
      <c r="C997" t="s">
        <v>24</v>
      </c>
      <c r="D997" t="s">
        <v>21</v>
      </c>
      <c r="E997" s="17">
        <v>3298.21</v>
      </c>
      <c r="F997" s="17">
        <v>1042.4100000000001</v>
      </c>
      <c r="G997" s="17">
        <v>1042.4100000000001</v>
      </c>
    </row>
    <row r="998" spans="1:7" x14ac:dyDescent="0.3">
      <c r="A998" t="s">
        <v>40</v>
      </c>
      <c r="B998" t="s">
        <v>26</v>
      </c>
      <c r="C998" t="s">
        <v>25</v>
      </c>
      <c r="D998" t="s">
        <v>18</v>
      </c>
      <c r="E998" s="17">
        <v>8653.06</v>
      </c>
      <c r="F998" s="17">
        <v>3463.49</v>
      </c>
      <c r="G998" s="17">
        <v>3463.49</v>
      </c>
    </row>
    <row r="999" spans="1:7" x14ac:dyDescent="0.3">
      <c r="A999" t="s">
        <v>40</v>
      </c>
      <c r="B999" t="s">
        <v>26</v>
      </c>
      <c r="C999" t="s">
        <v>25</v>
      </c>
      <c r="D999" t="s">
        <v>19</v>
      </c>
      <c r="E999" s="17">
        <v>18824.900000000001</v>
      </c>
      <c r="F999" s="17">
        <v>5009.380000000001</v>
      </c>
      <c r="G999" s="17">
        <v>5009.38</v>
      </c>
    </row>
    <row r="1000" spans="1:7" x14ac:dyDescent="0.3">
      <c r="A1000" t="s">
        <v>40</v>
      </c>
      <c r="B1000" t="s">
        <v>26</v>
      </c>
      <c r="C1000" t="s">
        <v>25</v>
      </c>
      <c r="D1000" t="s">
        <v>20</v>
      </c>
      <c r="E1000" s="17">
        <v>15752.11</v>
      </c>
      <c r="F1000" s="17">
        <v>5695.7000000000007</v>
      </c>
      <c r="G1000" s="17">
        <v>5695.7</v>
      </c>
    </row>
    <row r="1001" spans="1:7" x14ac:dyDescent="0.3">
      <c r="A1001" t="s">
        <v>40</v>
      </c>
      <c r="B1001" t="s">
        <v>26</v>
      </c>
      <c r="C1001" t="s">
        <v>25</v>
      </c>
      <c r="D1001" t="s">
        <v>21</v>
      </c>
      <c r="E1001" s="17">
        <v>9375.2999999999993</v>
      </c>
      <c r="F1001" s="17">
        <v>2451.42</v>
      </c>
      <c r="G1001" s="17">
        <v>2451.42</v>
      </c>
    </row>
    <row r="1002" spans="1:7" x14ac:dyDescent="0.3">
      <c r="A1002" t="s">
        <v>40</v>
      </c>
      <c r="B1002" t="s">
        <v>27</v>
      </c>
      <c r="C1002" t="s">
        <v>17</v>
      </c>
      <c r="D1002" t="s">
        <v>18</v>
      </c>
      <c r="E1002" s="17">
        <v>5294.99</v>
      </c>
      <c r="F1002" s="17">
        <v>1896.97</v>
      </c>
      <c r="G1002" s="17">
        <v>1896.97</v>
      </c>
    </row>
    <row r="1003" spans="1:7" x14ac:dyDescent="0.3">
      <c r="A1003" t="s">
        <v>40</v>
      </c>
      <c r="B1003" t="s">
        <v>27</v>
      </c>
      <c r="C1003" t="s">
        <v>17</v>
      </c>
      <c r="D1003" t="s">
        <v>19</v>
      </c>
      <c r="E1003" s="17">
        <v>7083.98</v>
      </c>
      <c r="F1003" s="17">
        <v>1849.88</v>
      </c>
      <c r="G1003" s="17">
        <v>1849.88</v>
      </c>
    </row>
    <row r="1004" spans="1:7" x14ac:dyDescent="0.3">
      <c r="A1004" t="s">
        <v>40</v>
      </c>
      <c r="B1004" t="s">
        <v>27</v>
      </c>
      <c r="C1004" t="s">
        <v>17</v>
      </c>
      <c r="D1004" t="s">
        <v>20</v>
      </c>
      <c r="E1004" s="17">
        <v>3402.03</v>
      </c>
      <c r="F1004" s="17">
        <v>1483.63</v>
      </c>
      <c r="G1004" s="17">
        <v>1483.63</v>
      </c>
    </row>
    <row r="1005" spans="1:7" x14ac:dyDescent="0.3">
      <c r="A1005" t="s">
        <v>40</v>
      </c>
      <c r="B1005" t="s">
        <v>27</v>
      </c>
      <c r="C1005" t="s">
        <v>17</v>
      </c>
      <c r="D1005" t="s">
        <v>21</v>
      </c>
      <c r="E1005" s="17">
        <v>22233.42</v>
      </c>
      <c r="F1005" s="17">
        <v>9474.24</v>
      </c>
      <c r="G1005" s="17">
        <v>9474.24</v>
      </c>
    </row>
    <row r="1006" spans="1:7" x14ac:dyDescent="0.3">
      <c r="A1006" t="s">
        <v>40</v>
      </c>
      <c r="B1006" t="s">
        <v>27</v>
      </c>
      <c r="C1006" t="s">
        <v>22</v>
      </c>
      <c r="D1006" t="s">
        <v>18</v>
      </c>
      <c r="E1006" s="17">
        <v>16397.84</v>
      </c>
      <c r="F1006" s="17">
        <v>4843.01</v>
      </c>
      <c r="G1006" s="17">
        <v>4843.01</v>
      </c>
    </row>
    <row r="1007" spans="1:7" x14ac:dyDescent="0.3">
      <c r="A1007" t="s">
        <v>40</v>
      </c>
      <c r="B1007" t="s">
        <v>27</v>
      </c>
      <c r="C1007" t="s">
        <v>22</v>
      </c>
      <c r="D1007" t="s">
        <v>19</v>
      </c>
      <c r="E1007" s="17">
        <v>13399.28</v>
      </c>
      <c r="F1007" s="17">
        <v>5929.43</v>
      </c>
      <c r="G1007" s="17">
        <v>5929.43</v>
      </c>
    </row>
    <row r="1008" spans="1:7" x14ac:dyDescent="0.3">
      <c r="A1008" t="s">
        <v>40</v>
      </c>
      <c r="B1008" t="s">
        <v>27</v>
      </c>
      <c r="C1008" t="s">
        <v>22</v>
      </c>
      <c r="D1008" t="s">
        <v>20</v>
      </c>
      <c r="E1008" s="17">
        <v>23656.49</v>
      </c>
      <c r="F1008" s="17">
        <v>8546.2000000000007</v>
      </c>
      <c r="G1008" s="17">
        <v>8546.2000000000007</v>
      </c>
    </row>
    <row r="1009" spans="1:7" x14ac:dyDescent="0.3">
      <c r="A1009" t="s">
        <v>40</v>
      </c>
      <c r="B1009" t="s">
        <v>27</v>
      </c>
      <c r="C1009" t="s">
        <v>22</v>
      </c>
      <c r="D1009" t="s">
        <v>21</v>
      </c>
      <c r="E1009" s="17">
        <v>20073.509999999998</v>
      </c>
      <c r="F1009" s="17">
        <v>5340.7200000000012</v>
      </c>
      <c r="G1009" s="17">
        <v>5340.72</v>
      </c>
    </row>
    <row r="1010" spans="1:7" x14ac:dyDescent="0.3">
      <c r="A1010" t="s">
        <v>40</v>
      </c>
      <c r="B1010" t="s">
        <v>27</v>
      </c>
      <c r="C1010" t="s">
        <v>23</v>
      </c>
      <c r="D1010" t="s">
        <v>18</v>
      </c>
      <c r="E1010" s="17">
        <v>11575.47</v>
      </c>
      <c r="F1010" s="17">
        <v>2549.9499999999989</v>
      </c>
      <c r="G1010" s="17">
        <v>2549.9499999999998</v>
      </c>
    </row>
    <row r="1011" spans="1:7" x14ac:dyDescent="0.3">
      <c r="A1011" t="s">
        <v>40</v>
      </c>
      <c r="B1011" t="s">
        <v>27</v>
      </c>
      <c r="C1011" t="s">
        <v>23</v>
      </c>
      <c r="D1011" t="s">
        <v>19</v>
      </c>
      <c r="E1011" s="17">
        <v>10658.58</v>
      </c>
      <c r="F1011" s="17">
        <v>4089.62</v>
      </c>
      <c r="G1011" s="17">
        <v>4089.62</v>
      </c>
    </row>
    <row r="1012" spans="1:7" x14ac:dyDescent="0.3">
      <c r="A1012" t="s">
        <v>40</v>
      </c>
      <c r="B1012" t="s">
        <v>27</v>
      </c>
      <c r="C1012" t="s">
        <v>23</v>
      </c>
      <c r="D1012" t="s">
        <v>20</v>
      </c>
      <c r="E1012" s="17">
        <v>12890.93</v>
      </c>
      <c r="F1012" s="17">
        <v>5276.54</v>
      </c>
      <c r="G1012" s="17">
        <v>5276.54</v>
      </c>
    </row>
    <row r="1013" spans="1:7" x14ac:dyDescent="0.3">
      <c r="A1013" t="s">
        <v>40</v>
      </c>
      <c r="B1013" t="s">
        <v>27</v>
      </c>
      <c r="C1013" t="s">
        <v>23</v>
      </c>
      <c r="D1013" t="s">
        <v>21</v>
      </c>
      <c r="E1013" s="17">
        <v>8916.94</v>
      </c>
      <c r="F1013" s="17">
        <v>3308.59</v>
      </c>
      <c r="G1013" s="17">
        <v>3308.59</v>
      </c>
    </row>
    <row r="1014" spans="1:7" x14ac:dyDescent="0.3">
      <c r="A1014" t="s">
        <v>40</v>
      </c>
      <c r="B1014" t="s">
        <v>27</v>
      </c>
      <c r="C1014" t="s">
        <v>24</v>
      </c>
      <c r="D1014" t="s">
        <v>18</v>
      </c>
      <c r="E1014" s="17">
        <v>20532.849999999999</v>
      </c>
      <c r="F1014" s="17">
        <v>8767.1200000000008</v>
      </c>
      <c r="G1014" s="17">
        <v>8767.1200000000008</v>
      </c>
    </row>
    <row r="1015" spans="1:7" x14ac:dyDescent="0.3">
      <c r="A1015" t="s">
        <v>40</v>
      </c>
      <c r="B1015" t="s">
        <v>27</v>
      </c>
      <c r="C1015" t="s">
        <v>24</v>
      </c>
      <c r="D1015" t="s">
        <v>19</v>
      </c>
      <c r="E1015" s="17">
        <v>14934.88</v>
      </c>
      <c r="F1015" s="17">
        <v>6590.8000000000011</v>
      </c>
      <c r="G1015" s="17">
        <v>6590.8</v>
      </c>
    </row>
    <row r="1016" spans="1:7" x14ac:dyDescent="0.3">
      <c r="A1016" t="s">
        <v>40</v>
      </c>
      <c r="B1016" t="s">
        <v>27</v>
      </c>
      <c r="C1016" t="s">
        <v>24</v>
      </c>
      <c r="D1016" t="s">
        <v>20</v>
      </c>
      <c r="E1016" s="17">
        <v>14817.6</v>
      </c>
      <c r="F1016" s="17">
        <v>3203.639999999999</v>
      </c>
      <c r="G1016" s="17">
        <v>3203.64</v>
      </c>
    </row>
    <row r="1017" spans="1:7" x14ac:dyDescent="0.3">
      <c r="A1017" t="s">
        <v>40</v>
      </c>
      <c r="B1017" t="s">
        <v>27</v>
      </c>
      <c r="C1017" t="s">
        <v>24</v>
      </c>
      <c r="D1017" t="s">
        <v>21</v>
      </c>
      <c r="E1017" s="17">
        <v>7585.75</v>
      </c>
      <c r="F1017" s="17">
        <v>1781.9</v>
      </c>
      <c r="G1017" s="17">
        <v>1781.9</v>
      </c>
    </row>
    <row r="1018" spans="1:7" x14ac:dyDescent="0.3">
      <c r="A1018" t="s">
        <v>40</v>
      </c>
      <c r="B1018" t="s">
        <v>27</v>
      </c>
      <c r="C1018" t="s">
        <v>25</v>
      </c>
      <c r="D1018" t="s">
        <v>18</v>
      </c>
      <c r="E1018" s="17">
        <v>16874.23</v>
      </c>
      <c r="F1018" s="17">
        <v>7239.0600000000013</v>
      </c>
      <c r="G1018" s="17">
        <v>7239.06</v>
      </c>
    </row>
    <row r="1019" spans="1:7" x14ac:dyDescent="0.3">
      <c r="A1019" t="s">
        <v>40</v>
      </c>
      <c r="B1019" t="s">
        <v>27</v>
      </c>
      <c r="C1019" t="s">
        <v>25</v>
      </c>
      <c r="D1019" t="s">
        <v>19</v>
      </c>
      <c r="E1019" s="17">
        <v>21484.07</v>
      </c>
      <c r="F1019" s="17">
        <v>4403.489999999998</v>
      </c>
      <c r="G1019" s="17">
        <v>4403.49</v>
      </c>
    </row>
    <row r="1020" spans="1:7" x14ac:dyDescent="0.3">
      <c r="A1020" t="s">
        <v>40</v>
      </c>
      <c r="B1020" t="s">
        <v>27</v>
      </c>
      <c r="C1020" t="s">
        <v>25</v>
      </c>
      <c r="D1020" t="s">
        <v>20</v>
      </c>
      <c r="E1020" s="17">
        <v>18665.45</v>
      </c>
      <c r="F1020" s="17">
        <v>4319.75</v>
      </c>
      <c r="G1020" s="17">
        <v>4319.75</v>
      </c>
    </row>
    <row r="1021" spans="1:7" x14ac:dyDescent="0.3">
      <c r="A1021" t="s">
        <v>40</v>
      </c>
      <c r="B1021" t="s">
        <v>27</v>
      </c>
      <c r="C1021" t="s">
        <v>25</v>
      </c>
      <c r="D1021" t="s">
        <v>21</v>
      </c>
      <c r="E1021" s="17">
        <v>8174.62</v>
      </c>
      <c r="F1021" s="17">
        <v>2958.3200000000011</v>
      </c>
      <c r="G1021" s="17">
        <v>2958.32</v>
      </c>
    </row>
    <row r="1022" spans="1:7" x14ac:dyDescent="0.3">
      <c r="A1022" t="s">
        <v>40</v>
      </c>
      <c r="B1022" t="s">
        <v>28</v>
      </c>
      <c r="C1022" t="s">
        <v>17</v>
      </c>
      <c r="D1022" t="s">
        <v>18</v>
      </c>
      <c r="E1022" s="17">
        <v>15867.21</v>
      </c>
      <c r="F1022" s="17">
        <v>6598.82</v>
      </c>
      <c r="G1022" s="17">
        <v>6598.82</v>
      </c>
    </row>
    <row r="1023" spans="1:7" x14ac:dyDescent="0.3">
      <c r="A1023" t="s">
        <v>40</v>
      </c>
      <c r="B1023" t="s">
        <v>28</v>
      </c>
      <c r="C1023" t="s">
        <v>17</v>
      </c>
      <c r="D1023" t="s">
        <v>19</v>
      </c>
      <c r="E1023" s="17">
        <v>6327.76</v>
      </c>
      <c r="F1023" s="17">
        <v>2440.35</v>
      </c>
      <c r="G1023" s="17">
        <v>2440.35</v>
      </c>
    </row>
    <row r="1024" spans="1:7" x14ac:dyDescent="0.3">
      <c r="A1024" t="s">
        <v>40</v>
      </c>
      <c r="B1024" t="s">
        <v>28</v>
      </c>
      <c r="C1024" t="s">
        <v>17</v>
      </c>
      <c r="D1024" t="s">
        <v>20</v>
      </c>
      <c r="E1024" s="17">
        <v>18659.02</v>
      </c>
      <c r="F1024" s="17">
        <v>6174.08</v>
      </c>
      <c r="G1024" s="17">
        <v>6174.08</v>
      </c>
    </row>
    <row r="1025" spans="1:7" x14ac:dyDescent="0.3">
      <c r="A1025" t="s">
        <v>40</v>
      </c>
      <c r="B1025" t="s">
        <v>28</v>
      </c>
      <c r="C1025" t="s">
        <v>17</v>
      </c>
      <c r="D1025" t="s">
        <v>21</v>
      </c>
      <c r="E1025" s="17">
        <v>13026.07</v>
      </c>
      <c r="F1025" s="17">
        <v>5402.67</v>
      </c>
      <c r="G1025" s="17">
        <v>5402.67</v>
      </c>
    </row>
    <row r="1026" spans="1:7" x14ac:dyDescent="0.3">
      <c r="A1026" t="s">
        <v>40</v>
      </c>
      <c r="B1026" t="s">
        <v>28</v>
      </c>
      <c r="C1026" t="s">
        <v>22</v>
      </c>
      <c r="D1026" t="s">
        <v>18</v>
      </c>
      <c r="E1026" s="17">
        <v>9658.18</v>
      </c>
      <c r="F1026" s="17">
        <v>4234.1000000000004</v>
      </c>
      <c r="G1026" s="17">
        <v>4234.1000000000004</v>
      </c>
    </row>
    <row r="1027" spans="1:7" x14ac:dyDescent="0.3">
      <c r="A1027" t="s">
        <v>40</v>
      </c>
      <c r="B1027" t="s">
        <v>28</v>
      </c>
      <c r="C1027" t="s">
        <v>22</v>
      </c>
      <c r="D1027" t="s">
        <v>19</v>
      </c>
      <c r="E1027" s="17">
        <v>2352.6799999999998</v>
      </c>
      <c r="F1027" s="17">
        <v>1018.79</v>
      </c>
      <c r="G1027" s="17">
        <v>1018.79</v>
      </c>
    </row>
    <row r="1028" spans="1:7" x14ac:dyDescent="0.3">
      <c r="A1028" t="s">
        <v>40</v>
      </c>
      <c r="B1028" t="s">
        <v>28</v>
      </c>
      <c r="C1028" t="s">
        <v>22</v>
      </c>
      <c r="D1028" t="s">
        <v>20</v>
      </c>
      <c r="E1028" s="17">
        <v>24127.78</v>
      </c>
      <c r="F1028" s="17">
        <v>5107.260000000002</v>
      </c>
      <c r="G1028" s="17">
        <v>5107.26</v>
      </c>
    </row>
    <row r="1029" spans="1:7" x14ac:dyDescent="0.3">
      <c r="A1029" t="s">
        <v>40</v>
      </c>
      <c r="B1029" t="s">
        <v>28</v>
      </c>
      <c r="C1029" t="s">
        <v>22</v>
      </c>
      <c r="D1029" t="s">
        <v>21</v>
      </c>
      <c r="E1029" s="17">
        <v>24990.16</v>
      </c>
      <c r="F1029" s="17">
        <v>7729.6700000000019</v>
      </c>
      <c r="G1029" s="17">
        <v>7729.67</v>
      </c>
    </row>
    <row r="1030" spans="1:7" x14ac:dyDescent="0.3">
      <c r="A1030" t="s">
        <v>40</v>
      </c>
      <c r="B1030" t="s">
        <v>28</v>
      </c>
      <c r="C1030" t="s">
        <v>23</v>
      </c>
      <c r="D1030" t="s">
        <v>18</v>
      </c>
      <c r="E1030" s="17">
        <v>7579.64</v>
      </c>
      <c r="F1030" s="17">
        <v>2601.2399999999998</v>
      </c>
      <c r="G1030" s="17">
        <v>2601.2399999999998</v>
      </c>
    </row>
    <row r="1031" spans="1:7" x14ac:dyDescent="0.3">
      <c r="A1031" t="s">
        <v>40</v>
      </c>
      <c r="B1031" t="s">
        <v>28</v>
      </c>
      <c r="C1031" t="s">
        <v>23</v>
      </c>
      <c r="D1031" t="s">
        <v>19</v>
      </c>
      <c r="E1031" s="17">
        <v>6703.8</v>
      </c>
      <c r="F1031" s="17">
        <v>2863.09</v>
      </c>
      <c r="G1031" s="17">
        <v>2863.09</v>
      </c>
    </row>
    <row r="1032" spans="1:7" x14ac:dyDescent="0.3">
      <c r="A1032" t="s">
        <v>40</v>
      </c>
      <c r="B1032" t="s">
        <v>28</v>
      </c>
      <c r="C1032" t="s">
        <v>23</v>
      </c>
      <c r="D1032" t="s">
        <v>20</v>
      </c>
      <c r="E1032" s="17">
        <v>14697.82</v>
      </c>
      <c r="F1032" s="17">
        <v>5723.17</v>
      </c>
      <c r="G1032" s="17">
        <v>5723.17</v>
      </c>
    </row>
    <row r="1033" spans="1:7" x14ac:dyDescent="0.3">
      <c r="A1033" t="s">
        <v>40</v>
      </c>
      <c r="B1033" t="s">
        <v>28</v>
      </c>
      <c r="C1033" t="s">
        <v>23</v>
      </c>
      <c r="D1033" t="s">
        <v>21</v>
      </c>
      <c r="E1033" s="17">
        <v>10755.22</v>
      </c>
      <c r="F1033" s="17">
        <v>3485.610000000001</v>
      </c>
      <c r="G1033" s="17">
        <v>3485.61</v>
      </c>
    </row>
    <row r="1034" spans="1:7" x14ac:dyDescent="0.3">
      <c r="A1034" t="s">
        <v>40</v>
      </c>
      <c r="B1034" t="s">
        <v>28</v>
      </c>
      <c r="C1034" t="s">
        <v>24</v>
      </c>
      <c r="D1034" t="s">
        <v>18</v>
      </c>
      <c r="E1034" s="17">
        <v>10262.969999999999</v>
      </c>
      <c r="F1034" s="17">
        <v>2572.12</v>
      </c>
      <c r="G1034" s="17">
        <v>2572.12</v>
      </c>
    </row>
    <row r="1035" spans="1:7" x14ac:dyDescent="0.3">
      <c r="A1035" t="s">
        <v>40</v>
      </c>
      <c r="B1035" t="s">
        <v>28</v>
      </c>
      <c r="C1035" t="s">
        <v>24</v>
      </c>
      <c r="D1035" t="s">
        <v>19</v>
      </c>
      <c r="E1035" s="17">
        <v>13794.78</v>
      </c>
      <c r="F1035" s="17">
        <v>4335.2100000000009</v>
      </c>
      <c r="G1035" s="17">
        <v>4335.21</v>
      </c>
    </row>
    <row r="1036" spans="1:7" x14ac:dyDescent="0.3">
      <c r="A1036" t="s">
        <v>40</v>
      </c>
      <c r="B1036" t="s">
        <v>28</v>
      </c>
      <c r="C1036" t="s">
        <v>24</v>
      </c>
      <c r="D1036" t="s">
        <v>20</v>
      </c>
      <c r="E1036" s="17">
        <v>4267.99</v>
      </c>
      <c r="F1036" s="17">
        <v>1899.07</v>
      </c>
      <c r="G1036" s="17">
        <v>1899.07</v>
      </c>
    </row>
    <row r="1037" spans="1:7" x14ac:dyDescent="0.3">
      <c r="A1037" t="s">
        <v>40</v>
      </c>
      <c r="B1037" t="s">
        <v>28</v>
      </c>
      <c r="C1037" t="s">
        <v>24</v>
      </c>
      <c r="D1037" t="s">
        <v>21</v>
      </c>
      <c r="E1037" s="17">
        <v>12798.28</v>
      </c>
      <c r="F1037" s="17">
        <v>5205.41</v>
      </c>
      <c r="G1037" s="17">
        <v>5205.41</v>
      </c>
    </row>
    <row r="1038" spans="1:7" x14ac:dyDescent="0.3">
      <c r="A1038" t="s">
        <v>40</v>
      </c>
      <c r="B1038" t="s">
        <v>28</v>
      </c>
      <c r="C1038" t="s">
        <v>25</v>
      </c>
      <c r="D1038" t="s">
        <v>18</v>
      </c>
      <c r="E1038" s="17">
        <v>23029.599999999999</v>
      </c>
      <c r="F1038" s="17">
        <v>6450.369999999999</v>
      </c>
      <c r="G1038" s="17">
        <v>6450.37</v>
      </c>
    </row>
    <row r="1039" spans="1:7" x14ac:dyDescent="0.3">
      <c r="A1039" t="s">
        <v>40</v>
      </c>
      <c r="B1039" t="s">
        <v>28</v>
      </c>
      <c r="C1039" t="s">
        <v>25</v>
      </c>
      <c r="D1039" t="s">
        <v>19</v>
      </c>
      <c r="E1039" s="17">
        <v>11520.39</v>
      </c>
      <c r="F1039" s="17">
        <v>3823.41</v>
      </c>
      <c r="G1039" s="17">
        <v>3823.41</v>
      </c>
    </row>
    <row r="1040" spans="1:7" x14ac:dyDescent="0.3">
      <c r="A1040" t="s">
        <v>40</v>
      </c>
      <c r="B1040" t="s">
        <v>28</v>
      </c>
      <c r="C1040" t="s">
        <v>25</v>
      </c>
      <c r="D1040" t="s">
        <v>20</v>
      </c>
      <c r="E1040" s="17">
        <v>7089.3</v>
      </c>
      <c r="F1040" s="17">
        <v>1555.39</v>
      </c>
      <c r="G1040" s="17">
        <v>1555.39</v>
      </c>
    </row>
    <row r="1041" spans="1:7" x14ac:dyDescent="0.3">
      <c r="A1041" t="s">
        <v>40</v>
      </c>
      <c r="B1041" t="s">
        <v>28</v>
      </c>
      <c r="C1041" t="s">
        <v>25</v>
      </c>
      <c r="D1041" t="s">
        <v>21</v>
      </c>
      <c r="E1041" s="17">
        <v>7997.8</v>
      </c>
      <c r="F1041" s="17">
        <v>3458.13</v>
      </c>
      <c r="G1041" s="17">
        <v>3458.13</v>
      </c>
    </row>
    <row r="1042" spans="1:7" x14ac:dyDescent="0.3">
      <c r="A1042" t="s">
        <v>41</v>
      </c>
      <c r="B1042" t="s">
        <v>16</v>
      </c>
      <c r="C1042" t="s">
        <v>17</v>
      </c>
      <c r="D1042" t="s">
        <v>18</v>
      </c>
      <c r="E1042" s="17">
        <v>15320.29</v>
      </c>
      <c r="F1042" s="17">
        <v>4484.9500000000007</v>
      </c>
      <c r="G1042" s="17">
        <v>4484.95</v>
      </c>
    </row>
    <row r="1043" spans="1:7" x14ac:dyDescent="0.3">
      <c r="A1043" t="s">
        <v>41</v>
      </c>
      <c r="B1043" t="s">
        <v>16</v>
      </c>
      <c r="C1043" t="s">
        <v>17</v>
      </c>
      <c r="D1043" t="s">
        <v>19</v>
      </c>
      <c r="E1043" s="17">
        <v>5505.46</v>
      </c>
      <c r="F1043" s="17">
        <v>1481.32</v>
      </c>
      <c r="G1043" s="17">
        <v>1481.32</v>
      </c>
    </row>
    <row r="1044" spans="1:7" x14ac:dyDescent="0.3">
      <c r="A1044" t="s">
        <v>41</v>
      </c>
      <c r="B1044" t="s">
        <v>16</v>
      </c>
      <c r="C1044" t="s">
        <v>17</v>
      </c>
      <c r="D1044" t="s">
        <v>20</v>
      </c>
      <c r="E1044" s="17">
        <v>10736.31</v>
      </c>
      <c r="F1044" s="17">
        <v>4348.29</v>
      </c>
      <c r="G1044" s="17">
        <v>4348.29</v>
      </c>
    </row>
    <row r="1045" spans="1:7" x14ac:dyDescent="0.3">
      <c r="A1045" t="s">
        <v>41</v>
      </c>
      <c r="B1045" t="s">
        <v>16</v>
      </c>
      <c r="C1045" t="s">
        <v>17</v>
      </c>
      <c r="D1045" t="s">
        <v>21</v>
      </c>
      <c r="E1045" s="17">
        <v>13483.93</v>
      </c>
      <c r="F1045" s="17">
        <v>4810.3100000000013</v>
      </c>
      <c r="G1045" s="17">
        <v>4810.3100000000004</v>
      </c>
    </row>
    <row r="1046" spans="1:7" x14ac:dyDescent="0.3">
      <c r="A1046" t="s">
        <v>41</v>
      </c>
      <c r="B1046" t="s">
        <v>16</v>
      </c>
      <c r="C1046" t="s">
        <v>22</v>
      </c>
      <c r="D1046" t="s">
        <v>18</v>
      </c>
      <c r="E1046" s="17">
        <v>17751.47</v>
      </c>
      <c r="F1046" s="17">
        <v>4428.6100000000006</v>
      </c>
      <c r="G1046" s="17">
        <v>4428.6099999999997</v>
      </c>
    </row>
    <row r="1047" spans="1:7" x14ac:dyDescent="0.3">
      <c r="A1047" t="s">
        <v>41</v>
      </c>
      <c r="B1047" t="s">
        <v>16</v>
      </c>
      <c r="C1047" t="s">
        <v>22</v>
      </c>
      <c r="D1047" t="s">
        <v>19</v>
      </c>
      <c r="E1047" s="17">
        <v>20896.61</v>
      </c>
      <c r="F1047" s="17">
        <v>9214.51</v>
      </c>
      <c r="G1047" s="17">
        <v>9214.51</v>
      </c>
    </row>
    <row r="1048" spans="1:7" x14ac:dyDescent="0.3">
      <c r="A1048" t="s">
        <v>41</v>
      </c>
      <c r="B1048" t="s">
        <v>16</v>
      </c>
      <c r="C1048" t="s">
        <v>22</v>
      </c>
      <c r="D1048" t="s">
        <v>20</v>
      </c>
      <c r="E1048" s="17">
        <v>16758.97</v>
      </c>
      <c r="F1048" s="17">
        <v>5236.5200000000004</v>
      </c>
      <c r="G1048" s="17">
        <v>5236.5200000000004</v>
      </c>
    </row>
    <row r="1049" spans="1:7" x14ac:dyDescent="0.3">
      <c r="A1049" t="s">
        <v>41</v>
      </c>
      <c r="B1049" t="s">
        <v>16</v>
      </c>
      <c r="C1049" t="s">
        <v>22</v>
      </c>
      <c r="D1049" t="s">
        <v>21</v>
      </c>
      <c r="E1049" s="17">
        <v>5869.37</v>
      </c>
      <c r="F1049" s="17">
        <v>2316.31</v>
      </c>
      <c r="G1049" s="17">
        <v>2316.31</v>
      </c>
    </row>
    <row r="1050" spans="1:7" x14ac:dyDescent="0.3">
      <c r="A1050" t="s">
        <v>41</v>
      </c>
      <c r="B1050" t="s">
        <v>16</v>
      </c>
      <c r="C1050" t="s">
        <v>23</v>
      </c>
      <c r="D1050" t="s">
        <v>18</v>
      </c>
      <c r="E1050" s="17">
        <v>5893.11</v>
      </c>
      <c r="F1050" s="17">
        <v>2206.88</v>
      </c>
      <c r="G1050" s="17">
        <v>2206.88</v>
      </c>
    </row>
    <row r="1051" spans="1:7" x14ac:dyDescent="0.3">
      <c r="A1051" t="s">
        <v>41</v>
      </c>
      <c r="B1051" t="s">
        <v>16</v>
      </c>
      <c r="C1051" t="s">
        <v>23</v>
      </c>
      <c r="D1051" t="s">
        <v>19</v>
      </c>
      <c r="E1051" s="17">
        <v>13231.28</v>
      </c>
      <c r="F1051" s="17">
        <v>5657.2</v>
      </c>
      <c r="G1051" s="17">
        <v>5657.2</v>
      </c>
    </row>
    <row r="1052" spans="1:7" x14ac:dyDescent="0.3">
      <c r="A1052" t="s">
        <v>41</v>
      </c>
      <c r="B1052" t="s">
        <v>16</v>
      </c>
      <c r="C1052" t="s">
        <v>23</v>
      </c>
      <c r="D1052" t="s">
        <v>20</v>
      </c>
      <c r="E1052" s="17">
        <v>14469.15</v>
      </c>
      <c r="F1052" s="17">
        <v>5111.7899999999991</v>
      </c>
      <c r="G1052" s="17">
        <v>5111.79</v>
      </c>
    </row>
    <row r="1053" spans="1:7" x14ac:dyDescent="0.3">
      <c r="A1053" t="s">
        <v>41</v>
      </c>
      <c r="B1053" t="s">
        <v>16</v>
      </c>
      <c r="C1053" t="s">
        <v>23</v>
      </c>
      <c r="D1053" t="s">
        <v>21</v>
      </c>
      <c r="E1053" s="17">
        <v>3350.84</v>
      </c>
      <c r="F1053" s="17">
        <v>633.75</v>
      </c>
      <c r="G1053" s="17">
        <v>633.75</v>
      </c>
    </row>
    <row r="1054" spans="1:7" x14ac:dyDescent="0.3">
      <c r="A1054" t="s">
        <v>41</v>
      </c>
      <c r="B1054" t="s">
        <v>16</v>
      </c>
      <c r="C1054" t="s">
        <v>24</v>
      </c>
      <c r="D1054" t="s">
        <v>18</v>
      </c>
      <c r="E1054" s="17">
        <v>21474.04</v>
      </c>
      <c r="F1054" s="17">
        <v>9345.52</v>
      </c>
      <c r="G1054" s="17">
        <v>9345.52</v>
      </c>
    </row>
    <row r="1055" spans="1:7" x14ac:dyDescent="0.3">
      <c r="A1055" t="s">
        <v>41</v>
      </c>
      <c r="B1055" t="s">
        <v>16</v>
      </c>
      <c r="C1055" t="s">
        <v>24</v>
      </c>
      <c r="D1055" t="s">
        <v>19</v>
      </c>
      <c r="E1055" s="17">
        <v>17368.96</v>
      </c>
      <c r="F1055" s="17">
        <v>6710.869999999999</v>
      </c>
      <c r="G1055" s="17">
        <v>6710.87</v>
      </c>
    </row>
    <row r="1056" spans="1:7" x14ac:dyDescent="0.3">
      <c r="A1056" t="s">
        <v>41</v>
      </c>
      <c r="B1056" t="s">
        <v>16</v>
      </c>
      <c r="C1056" t="s">
        <v>24</v>
      </c>
      <c r="D1056" t="s">
        <v>20</v>
      </c>
      <c r="E1056" s="17">
        <v>11485.02</v>
      </c>
      <c r="F1056" s="17">
        <v>4680</v>
      </c>
      <c r="G1056" s="17">
        <v>4680</v>
      </c>
    </row>
    <row r="1057" spans="1:7" x14ac:dyDescent="0.3">
      <c r="A1057" t="s">
        <v>41</v>
      </c>
      <c r="B1057" t="s">
        <v>16</v>
      </c>
      <c r="C1057" t="s">
        <v>24</v>
      </c>
      <c r="D1057" t="s">
        <v>21</v>
      </c>
      <c r="E1057" s="17">
        <v>7322.97</v>
      </c>
      <c r="F1057" s="17">
        <v>2716.349999999999</v>
      </c>
      <c r="G1057" s="17">
        <v>2716.35</v>
      </c>
    </row>
    <row r="1058" spans="1:7" x14ac:dyDescent="0.3">
      <c r="A1058" t="s">
        <v>41</v>
      </c>
      <c r="B1058" t="s">
        <v>16</v>
      </c>
      <c r="C1058" t="s">
        <v>25</v>
      </c>
      <c r="D1058" t="s">
        <v>18</v>
      </c>
      <c r="E1058" s="17">
        <v>2210.25</v>
      </c>
      <c r="F1058" s="17">
        <v>699.65000000000009</v>
      </c>
      <c r="G1058" s="17">
        <v>699.65</v>
      </c>
    </row>
    <row r="1059" spans="1:7" x14ac:dyDescent="0.3">
      <c r="A1059" t="s">
        <v>41</v>
      </c>
      <c r="B1059" t="s">
        <v>16</v>
      </c>
      <c r="C1059" t="s">
        <v>25</v>
      </c>
      <c r="D1059" t="s">
        <v>19</v>
      </c>
      <c r="E1059" s="17">
        <v>10583.62</v>
      </c>
      <c r="F1059" s="17">
        <v>3670.559999999999</v>
      </c>
      <c r="G1059" s="17">
        <v>3670.56</v>
      </c>
    </row>
    <row r="1060" spans="1:7" x14ac:dyDescent="0.3">
      <c r="A1060" t="s">
        <v>41</v>
      </c>
      <c r="B1060" t="s">
        <v>16</v>
      </c>
      <c r="C1060" t="s">
        <v>25</v>
      </c>
      <c r="D1060" t="s">
        <v>20</v>
      </c>
      <c r="E1060" s="17">
        <v>17335.36</v>
      </c>
      <c r="F1060" s="17">
        <v>6006.01</v>
      </c>
      <c r="G1060" s="17">
        <v>6006.01</v>
      </c>
    </row>
    <row r="1061" spans="1:7" x14ac:dyDescent="0.3">
      <c r="A1061" t="s">
        <v>41</v>
      </c>
      <c r="B1061" t="s">
        <v>16</v>
      </c>
      <c r="C1061" t="s">
        <v>25</v>
      </c>
      <c r="D1061" t="s">
        <v>21</v>
      </c>
      <c r="E1061" s="17">
        <v>13113.7</v>
      </c>
      <c r="F1061" s="17">
        <v>4087.809999999999</v>
      </c>
      <c r="G1061" s="17">
        <v>4087.81</v>
      </c>
    </row>
    <row r="1062" spans="1:7" x14ac:dyDescent="0.3">
      <c r="A1062" t="s">
        <v>41</v>
      </c>
      <c r="B1062" t="s">
        <v>26</v>
      </c>
      <c r="C1062" t="s">
        <v>17</v>
      </c>
      <c r="D1062" t="s">
        <v>18</v>
      </c>
      <c r="E1062" s="17">
        <v>2152.08</v>
      </c>
      <c r="F1062" s="17">
        <v>707.90999999999985</v>
      </c>
      <c r="G1062" s="17">
        <v>707.91</v>
      </c>
    </row>
    <row r="1063" spans="1:7" x14ac:dyDescent="0.3">
      <c r="A1063" t="s">
        <v>41</v>
      </c>
      <c r="B1063" t="s">
        <v>26</v>
      </c>
      <c r="C1063" t="s">
        <v>17</v>
      </c>
      <c r="D1063" t="s">
        <v>19</v>
      </c>
      <c r="E1063" s="17">
        <v>2272.5700000000002</v>
      </c>
      <c r="F1063" s="17">
        <v>733.90999999999985</v>
      </c>
      <c r="G1063" s="17">
        <v>733.91</v>
      </c>
    </row>
    <row r="1064" spans="1:7" x14ac:dyDescent="0.3">
      <c r="A1064" t="s">
        <v>41</v>
      </c>
      <c r="B1064" t="s">
        <v>26</v>
      </c>
      <c r="C1064" t="s">
        <v>17</v>
      </c>
      <c r="D1064" t="s">
        <v>20</v>
      </c>
      <c r="E1064" s="17">
        <v>8319.0400000000009</v>
      </c>
      <c r="F1064" s="17">
        <v>3692.98</v>
      </c>
      <c r="G1064" s="17">
        <v>3692.98</v>
      </c>
    </row>
    <row r="1065" spans="1:7" x14ac:dyDescent="0.3">
      <c r="A1065" t="s">
        <v>41</v>
      </c>
      <c r="B1065" t="s">
        <v>26</v>
      </c>
      <c r="C1065" t="s">
        <v>17</v>
      </c>
      <c r="D1065" t="s">
        <v>21</v>
      </c>
      <c r="E1065" s="17">
        <v>2394.2800000000002</v>
      </c>
      <c r="F1065" s="17">
        <v>956.63999999999987</v>
      </c>
      <c r="G1065" s="17">
        <v>956.64</v>
      </c>
    </row>
    <row r="1066" spans="1:7" x14ac:dyDescent="0.3">
      <c r="A1066" t="s">
        <v>41</v>
      </c>
      <c r="B1066" t="s">
        <v>26</v>
      </c>
      <c r="C1066" t="s">
        <v>22</v>
      </c>
      <c r="D1066" t="s">
        <v>18</v>
      </c>
      <c r="E1066" s="17">
        <v>17502.759999999998</v>
      </c>
      <c r="F1066" s="17">
        <v>6960.24</v>
      </c>
      <c r="G1066" s="17">
        <v>6960.24</v>
      </c>
    </row>
    <row r="1067" spans="1:7" x14ac:dyDescent="0.3">
      <c r="A1067" t="s">
        <v>41</v>
      </c>
      <c r="B1067" t="s">
        <v>26</v>
      </c>
      <c r="C1067" t="s">
        <v>22</v>
      </c>
      <c r="D1067" t="s">
        <v>19</v>
      </c>
      <c r="E1067" s="17">
        <v>22924.79</v>
      </c>
      <c r="F1067" s="17">
        <v>4788.8600000000006</v>
      </c>
      <c r="G1067" s="17">
        <v>4788.8599999999997</v>
      </c>
    </row>
    <row r="1068" spans="1:7" x14ac:dyDescent="0.3">
      <c r="A1068" t="s">
        <v>41</v>
      </c>
      <c r="B1068" t="s">
        <v>26</v>
      </c>
      <c r="C1068" t="s">
        <v>22</v>
      </c>
      <c r="D1068" t="s">
        <v>20</v>
      </c>
      <c r="E1068" s="17">
        <v>4215.22</v>
      </c>
      <c r="F1068" s="17">
        <v>928.19999999999982</v>
      </c>
      <c r="G1068" s="17">
        <v>928.2</v>
      </c>
    </row>
    <row r="1069" spans="1:7" x14ac:dyDescent="0.3">
      <c r="A1069" t="s">
        <v>41</v>
      </c>
      <c r="B1069" t="s">
        <v>26</v>
      </c>
      <c r="C1069" t="s">
        <v>22</v>
      </c>
      <c r="D1069" t="s">
        <v>21</v>
      </c>
      <c r="E1069" s="17">
        <v>6414.44</v>
      </c>
      <c r="F1069" s="17">
        <v>2066.37</v>
      </c>
      <c r="G1069" s="17">
        <v>2066.37</v>
      </c>
    </row>
    <row r="1070" spans="1:7" x14ac:dyDescent="0.3">
      <c r="A1070" t="s">
        <v>41</v>
      </c>
      <c r="B1070" t="s">
        <v>26</v>
      </c>
      <c r="C1070" t="s">
        <v>23</v>
      </c>
      <c r="D1070" t="s">
        <v>18</v>
      </c>
      <c r="E1070" s="17">
        <v>20749.93</v>
      </c>
      <c r="F1070" s="17">
        <v>5232.67</v>
      </c>
      <c r="G1070" s="17">
        <v>5232.67</v>
      </c>
    </row>
    <row r="1071" spans="1:7" x14ac:dyDescent="0.3">
      <c r="A1071" t="s">
        <v>41</v>
      </c>
      <c r="B1071" t="s">
        <v>26</v>
      </c>
      <c r="C1071" t="s">
        <v>23</v>
      </c>
      <c r="D1071" t="s">
        <v>19</v>
      </c>
      <c r="E1071" s="17">
        <v>11128.62</v>
      </c>
      <c r="F1071" s="17">
        <v>3124.07</v>
      </c>
      <c r="G1071" s="17">
        <v>3124.07</v>
      </c>
    </row>
    <row r="1072" spans="1:7" x14ac:dyDescent="0.3">
      <c r="A1072" t="s">
        <v>41</v>
      </c>
      <c r="B1072" t="s">
        <v>26</v>
      </c>
      <c r="C1072" t="s">
        <v>23</v>
      </c>
      <c r="D1072" t="s">
        <v>20</v>
      </c>
      <c r="E1072" s="17">
        <v>11338.63</v>
      </c>
      <c r="F1072" s="17">
        <v>3770.67</v>
      </c>
      <c r="G1072" s="17">
        <v>3770.67</v>
      </c>
    </row>
    <row r="1073" spans="1:7" x14ac:dyDescent="0.3">
      <c r="A1073" t="s">
        <v>41</v>
      </c>
      <c r="B1073" t="s">
        <v>26</v>
      </c>
      <c r="C1073" t="s">
        <v>23</v>
      </c>
      <c r="D1073" t="s">
        <v>21</v>
      </c>
      <c r="E1073" s="17">
        <v>24775.360000000001</v>
      </c>
      <c r="F1073" s="17">
        <v>5970.4000000000005</v>
      </c>
      <c r="G1073" s="17">
        <v>5970.4</v>
      </c>
    </row>
    <row r="1074" spans="1:7" x14ac:dyDescent="0.3">
      <c r="A1074" t="s">
        <v>41</v>
      </c>
      <c r="B1074" t="s">
        <v>26</v>
      </c>
      <c r="C1074" t="s">
        <v>24</v>
      </c>
      <c r="D1074" t="s">
        <v>18</v>
      </c>
      <c r="E1074" s="17">
        <v>17732.96</v>
      </c>
      <c r="F1074" s="17">
        <v>7251.4399999999987</v>
      </c>
      <c r="G1074" s="17">
        <v>7251.44</v>
      </c>
    </row>
    <row r="1075" spans="1:7" x14ac:dyDescent="0.3">
      <c r="A1075" t="s">
        <v>41</v>
      </c>
      <c r="B1075" t="s">
        <v>26</v>
      </c>
      <c r="C1075" t="s">
        <v>24</v>
      </c>
      <c r="D1075" t="s">
        <v>19</v>
      </c>
      <c r="E1075" s="17">
        <v>17035.919999999998</v>
      </c>
      <c r="F1075" s="17">
        <v>7014.01</v>
      </c>
      <c r="G1075" s="17">
        <v>7014.01</v>
      </c>
    </row>
    <row r="1076" spans="1:7" x14ac:dyDescent="0.3">
      <c r="A1076" t="s">
        <v>41</v>
      </c>
      <c r="B1076" t="s">
        <v>26</v>
      </c>
      <c r="C1076" t="s">
        <v>24</v>
      </c>
      <c r="D1076" t="s">
        <v>20</v>
      </c>
      <c r="E1076" s="17">
        <v>19470.47</v>
      </c>
      <c r="F1076" s="17">
        <v>3996.2199999999989</v>
      </c>
      <c r="G1076" s="17">
        <v>3996.22</v>
      </c>
    </row>
    <row r="1077" spans="1:7" x14ac:dyDescent="0.3">
      <c r="A1077" t="s">
        <v>41</v>
      </c>
      <c r="B1077" t="s">
        <v>26</v>
      </c>
      <c r="C1077" t="s">
        <v>24</v>
      </c>
      <c r="D1077" t="s">
        <v>21</v>
      </c>
      <c r="E1077" s="17">
        <v>10723.07</v>
      </c>
      <c r="F1077" s="17">
        <v>3530.35</v>
      </c>
      <c r="G1077" s="17">
        <v>3530.35</v>
      </c>
    </row>
    <row r="1078" spans="1:7" x14ac:dyDescent="0.3">
      <c r="A1078" t="s">
        <v>41</v>
      </c>
      <c r="B1078" t="s">
        <v>26</v>
      </c>
      <c r="C1078" t="s">
        <v>25</v>
      </c>
      <c r="D1078" t="s">
        <v>18</v>
      </c>
      <c r="E1078" s="17">
        <v>3290.64</v>
      </c>
      <c r="F1078" s="17">
        <v>600.71</v>
      </c>
      <c r="G1078" s="17">
        <v>600.71</v>
      </c>
    </row>
    <row r="1079" spans="1:7" x14ac:dyDescent="0.3">
      <c r="A1079" t="s">
        <v>41</v>
      </c>
      <c r="B1079" t="s">
        <v>26</v>
      </c>
      <c r="C1079" t="s">
        <v>25</v>
      </c>
      <c r="D1079" t="s">
        <v>19</v>
      </c>
      <c r="E1079" s="17">
        <v>5941.82</v>
      </c>
      <c r="F1079" s="17">
        <v>1871.45</v>
      </c>
      <c r="G1079" s="17">
        <v>1871.45</v>
      </c>
    </row>
    <row r="1080" spans="1:7" x14ac:dyDescent="0.3">
      <c r="A1080" t="s">
        <v>41</v>
      </c>
      <c r="B1080" t="s">
        <v>26</v>
      </c>
      <c r="C1080" t="s">
        <v>25</v>
      </c>
      <c r="D1080" t="s">
        <v>20</v>
      </c>
      <c r="E1080" s="17">
        <v>11979.92</v>
      </c>
      <c r="F1080" s="17">
        <v>4693.51</v>
      </c>
      <c r="G1080" s="17">
        <v>4693.51</v>
      </c>
    </row>
    <row r="1081" spans="1:7" x14ac:dyDescent="0.3">
      <c r="A1081" t="s">
        <v>41</v>
      </c>
      <c r="B1081" t="s">
        <v>26</v>
      </c>
      <c r="C1081" t="s">
        <v>25</v>
      </c>
      <c r="D1081" t="s">
        <v>21</v>
      </c>
      <c r="E1081" s="17">
        <v>15014.7</v>
      </c>
      <c r="F1081" s="17">
        <v>6180.7900000000009</v>
      </c>
      <c r="G1081" s="17">
        <v>6180.79</v>
      </c>
    </row>
    <row r="1082" spans="1:7" x14ac:dyDescent="0.3">
      <c r="A1082" t="s">
        <v>41</v>
      </c>
      <c r="B1082" t="s">
        <v>27</v>
      </c>
      <c r="C1082" t="s">
        <v>17</v>
      </c>
      <c r="D1082" t="s">
        <v>18</v>
      </c>
      <c r="E1082" s="17">
        <v>4193.32</v>
      </c>
      <c r="F1082" s="17">
        <v>1352.78</v>
      </c>
      <c r="G1082" s="17">
        <v>1352.78</v>
      </c>
    </row>
    <row r="1083" spans="1:7" x14ac:dyDescent="0.3">
      <c r="A1083" t="s">
        <v>41</v>
      </c>
      <c r="B1083" t="s">
        <v>27</v>
      </c>
      <c r="C1083" t="s">
        <v>17</v>
      </c>
      <c r="D1083" t="s">
        <v>19</v>
      </c>
      <c r="E1083" s="17">
        <v>2978.69</v>
      </c>
      <c r="F1083" s="17">
        <v>706.20000000000027</v>
      </c>
      <c r="G1083" s="17">
        <v>706.2</v>
      </c>
    </row>
    <row r="1084" spans="1:7" x14ac:dyDescent="0.3">
      <c r="A1084" t="s">
        <v>41</v>
      </c>
      <c r="B1084" t="s">
        <v>27</v>
      </c>
      <c r="C1084" t="s">
        <v>17</v>
      </c>
      <c r="D1084" t="s">
        <v>20</v>
      </c>
      <c r="E1084" s="17">
        <v>21966.69</v>
      </c>
      <c r="F1084" s="17">
        <v>9218.09</v>
      </c>
      <c r="G1084" s="17">
        <v>9218.09</v>
      </c>
    </row>
    <row r="1085" spans="1:7" x14ac:dyDescent="0.3">
      <c r="A1085" t="s">
        <v>41</v>
      </c>
      <c r="B1085" t="s">
        <v>27</v>
      </c>
      <c r="C1085" t="s">
        <v>17</v>
      </c>
      <c r="D1085" t="s">
        <v>21</v>
      </c>
      <c r="E1085" s="17">
        <v>12936.51</v>
      </c>
      <c r="F1085" s="17">
        <v>2491.2100000000009</v>
      </c>
      <c r="G1085" s="17">
        <v>2491.21</v>
      </c>
    </row>
    <row r="1086" spans="1:7" x14ac:dyDescent="0.3">
      <c r="A1086" t="s">
        <v>41</v>
      </c>
      <c r="B1086" t="s">
        <v>27</v>
      </c>
      <c r="C1086" t="s">
        <v>22</v>
      </c>
      <c r="D1086" t="s">
        <v>18</v>
      </c>
      <c r="E1086" s="17">
        <v>3710.01</v>
      </c>
      <c r="F1086" s="17">
        <v>1594.96</v>
      </c>
      <c r="G1086" s="17">
        <v>1594.96</v>
      </c>
    </row>
    <row r="1087" spans="1:7" x14ac:dyDescent="0.3">
      <c r="A1087" t="s">
        <v>41</v>
      </c>
      <c r="B1087" t="s">
        <v>27</v>
      </c>
      <c r="C1087" t="s">
        <v>22</v>
      </c>
      <c r="D1087" t="s">
        <v>19</v>
      </c>
      <c r="E1087" s="17">
        <v>22684.17</v>
      </c>
      <c r="F1087" s="17">
        <v>7534.49</v>
      </c>
      <c r="G1087" s="17">
        <v>7534.49</v>
      </c>
    </row>
    <row r="1088" spans="1:7" x14ac:dyDescent="0.3">
      <c r="A1088" t="s">
        <v>41</v>
      </c>
      <c r="B1088" t="s">
        <v>27</v>
      </c>
      <c r="C1088" t="s">
        <v>22</v>
      </c>
      <c r="D1088" t="s">
        <v>20</v>
      </c>
      <c r="E1088" s="17">
        <v>2756.74</v>
      </c>
      <c r="F1088" s="17">
        <v>1187.51</v>
      </c>
      <c r="G1088" s="17">
        <v>1187.51</v>
      </c>
    </row>
    <row r="1089" spans="1:7" x14ac:dyDescent="0.3">
      <c r="A1089" t="s">
        <v>41</v>
      </c>
      <c r="B1089" t="s">
        <v>27</v>
      </c>
      <c r="C1089" t="s">
        <v>22</v>
      </c>
      <c r="D1089" t="s">
        <v>21</v>
      </c>
      <c r="E1089" s="17">
        <v>9233.15</v>
      </c>
      <c r="F1089" s="17">
        <v>4058.860000000001</v>
      </c>
      <c r="G1089" s="17">
        <v>4058.86</v>
      </c>
    </row>
    <row r="1090" spans="1:7" x14ac:dyDescent="0.3">
      <c r="A1090" t="s">
        <v>41</v>
      </c>
      <c r="B1090" t="s">
        <v>27</v>
      </c>
      <c r="C1090" t="s">
        <v>23</v>
      </c>
      <c r="D1090" t="s">
        <v>18</v>
      </c>
      <c r="E1090" s="17">
        <v>15501.83</v>
      </c>
      <c r="F1090" s="17">
        <v>5938.8900000000012</v>
      </c>
      <c r="G1090" s="17">
        <v>5938.89</v>
      </c>
    </row>
    <row r="1091" spans="1:7" x14ac:dyDescent="0.3">
      <c r="A1091" t="s">
        <v>41</v>
      </c>
      <c r="B1091" t="s">
        <v>27</v>
      </c>
      <c r="C1091" t="s">
        <v>23</v>
      </c>
      <c r="D1091" t="s">
        <v>19</v>
      </c>
      <c r="E1091" s="17">
        <v>18392.36</v>
      </c>
      <c r="F1091" s="17">
        <v>5288.5400000000009</v>
      </c>
      <c r="G1091" s="17">
        <v>5288.54</v>
      </c>
    </row>
    <row r="1092" spans="1:7" x14ac:dyDescent="0.3">
      <c r="A1092" t="s">
        <v>41</v>
      </c>
      <c r="B1092" t="s">
        <v>27</v>
      </c>
      <c r="C1092" t="s">
        <v>23</v>
      </c>
      <c r="D1092" t="s">
        <v>20</v>
      </c>
      <c r="E1092" s="17">
        <v>3769.56</v>
      </c>
      <c r="F1092" s="17">
        <v>843.86000000000013</v>
      </c>
      <c r="G1092" s="17">
        <v>843.86</v>
      </c>
    </row>
    <row r="1093" spans="1:7" x14ac:dyDescent="0.3">
      <c r="A1093" t="s">
        <v>41</v>
      </c>
      <c r="B1093" t="s">
        <v>27</v>
      </c>
      <c r="C1093" t="s">
        <v>23</v>
      </c>
      <c r="D1093" t="s">
        <v>21</v>
      </c>
      <c r="E1093" s="17">
        <v>7530.86</v>
      </c>
      <c r="F1093" s="17">
        <v>3052.6799999999989</v>
      </c>
      <c r="G1093" s="17">
        <v>3052.68</v>
      </c>
    </row>
    <row r="1094" spans="1:7" x14ac:dyDescent="0.3">
      <c r="A1094" t="s">
        <v>41</v>
      </c>
      <c r="B1094" t="s">
        <v>27</v>
      </c>
      <c r="C1094" t="s">
        <v>24</v>
      </c>
      <c r="D1094" t="s">
        <v>18</v>
      </c>
      <c r="E1094" s="17">
        <v>10950.6</v>
      </c>
      <c r="F1094" s="17">
        <v>4621.83</v>
      </c>
      <c r="G1094" s="17">
        <v>4621.83</v>
      </c>
    </row>
    <row r="1095" spans="1:7" x14ac:dyDescent="0.3">
      <c r="A1095" t="s">
        <v>41</v>
      </c>
      <c r="B1095" t="s">
        <v>27</v>
      </c>
      <c r="C1095" t="s">
        <v>24</v>
      </c>
      <c r="D1095" t="s">
        <v>19</v>
      </c>
      <c r="E1095" s="17">
        <v>9629.7900000000009</v>
      </c>
      <c r="F1095" s="17">
        <v>3697.98</v>
      </c>
      <c r="G1095" s="17">
        <v>3697.98</v>
      </c>
    </row>
    <row r="1096" spans="1:7" x14ac:dyDescent="0.3">
      <c r="A1096" t="s">
        <v>41</v>
      </c>
      <c r="B1096" t="s">
        <v>27</v>
      </c>
      <c r="C1096" t="s">
        <v>24</v>
      </c>
      <c r="D1096" t="s">
        <v>20</v>
      </c>
      <c r="E1096" s="17">
        <v>5218.8599999999997</v>
      </c>
      <c r="F1096" s="17">
        <v>2332.25</v>
      </c>
      <c r="G1096" s="17">
        <v>2332.25</v>
      </c>
    </row>
    <row r="1097" spans="1:7" x14ac:dyDescent="0.3">
      <c r="A1097" t="s">
        <v>41</v>
      </c>
      <c r="B1097" t="s">
        <v>27</v>
      </c>
      <c r="C1097" t="s">
        <v>24</v>
      </c>
      <c r="D1097" t="s">
        <v>21</v>
      </c>
      <c r="E1097" s="17">
        <v>18655.759999999998</v>
      </c>
      <c r="F1097" s="17">
        <v>5880.5600000000013</v>
      </c>
      <c r="G1097" s="17">
        <v>5880.56</v>
      </c>
    </row>
    <row r="1098" spans="1:7" x14ac:dyDescent="0.3">
      <c r="A1098" t="s">
        <v>41</v>
      </c>
      <c r="B1098" t="s">
        <v>27</v>
      </c>
      <c r="C1098" t="s">
        <v>25</v>
      </c>
      <c r="D1098" t="s">
        <v>18</v>
      </c>
      <c r="E1098" s="17">
        <v>24409.439999999999</v>
      </c>
      <c r="F1098" s="17">
        <v>4747.59</v>
      </c>
      <c r="G1098" s="17">
        <v>4747.59</v>
      </c>
    </row>
    <row r="1099" spans="1:7" x14ac:dyDescent="0.3">
      <c r="A1099" t="s">
        <v>41</v>
      </c>
      <c r="B1099" t="s">
        <v>27</v>
      </c>
      <c r="C1099" t="s">
        <v>25</v>
      </c>
      <c r="D1099" t="s">
        <v>19</v>
      </c>
      <c r="E1099" s="17">
        <v>12053.03</v>
      </c>
      <c r="F1099" s="17">
        <v>4898.8599999999997</v>
      </c>
      <c r="G1099" s="17">
        <v>4898.8599999999997</v>
      </c>
    </row>
    <row r="1100" spans="1:7" x14ac:dyDescent="0.3">
      <c r="A1100" t="s">
        <v>41</v>
      </c>
      <c r="B1100" t="s">
        <v>27</v>
      </c>
      <c r="C1100" t="s">
        <v>25</v>
      </c>
      <c r="D1100" t="s">
        <v>20</v>
      </c>
      <c r="E1100" s="17">
        <v>9833.6299999999992</v>
      </c>
      <c r="F1100" s="17">
        <v>3811.83</v>
      </c>
      <c r="G1100" s="17">
        <v>3811.83</v>
      </c>
    </row>
    <row r="1101" spans="1:7" x14ac:dyDescent="0.3">
      <c r="A1101" t="s">
        <v>41</v>
      </c>
      <c r="B1101" t="s">
        <v>27</v>
      </c>
      <c r="C1101" t="s">
        <v>25</v>
      </c>
      <c r="D1101" t="s">
        <v>21</v>
      </c>
      <c r="E1101" s="17">
        <v>23961.74</v>
      </c>
      <c r="F1101" s="17">
        <v>6879.6499999999978</v>
      </c>
      <c r="G1101" s="17">
        <v>6879.65</v>
      </c>
    </row>
    <row r="1102" spans="1:7" x14ac:dyDescent="0.3">
      <c r="A1102" t="s">
        <v>41</v>
      </c>
      <c r="B1102" t="s">
        <v>28</v>
      </c>
      <c r="C1102" t="s">
        <v>17</v>
      </c>
      <c r="D1102" t="s">
        <v>18</v>
      </c>
      <c r="E1102" s="17">
        <v>19791.759999999998</v>
      </c>
      <c r="F1102" s="17">
        <v>3720.83</v>
      </c>
      <c r="G1102" s="17">
        <v>3720.83</v>
      </c>
    </row>
    <row r="1103" spans="1:7" x14ac:dyDescent="0.3">
      <c r="A1103" t="s">
        <v>41</v>
      </c>
      <c r="B1103" t="s">
        <v>28</v>
      </c>
      <c r="C1103" t="s">
        <v>17</v>
      </c>
      <c r="D1103" t="s">
        <v>19</v>
      </c>
      <c r="E1103" s="17">
        <v>8286.52</v>
      </c>
      <c r="F1103" s="17">
        <v>3712.35</v>
      </c>
      <c r="G1103" s="17">
        <v>3712.35</v>
      </c>
    </row>
    <row r="1104" spans="1:7" x14ac:dyDescent="0.3">
      <c r="A1104" t="s">
        <v>41</v>
      </c>
      <c r="B1104" t="s">
        <v>28</v>
      </c>
      <c r="C1104" t="s">
        <v>17</v>
      </c>
      <c r="D1104" t="s">
        <v>20</v>
      </c>
      <c r="E1104" s="17">
        <v>13283.88</v>
      </c>
      <c r="F1104" s="17">
        <v>3667.27</v>
      </c>
      <c r="G1104" s="17">
        <v>3667.27</v>
      </c>
    </row>
    <row r="1105" spans="1:7" x14ac:dyDescent="0.3">
      <c r="A1105" t="s">
        <v>41</v>
      </c>
      <c r="B1105" t="s">
        <v>28</v>
      </c>
      <c r="C1105" t="s">
        <v>17</v>
      </c>
      <c r="D1105" t="s">
        <v>21</v>
      </c>
      <c r="E1105" s="17">
        <v>23646.29</v>
      </c>
      <c r="F1105" s="17">
        <v>7013.4599999999991</v>
      </c>
      <c r="G1105" s="17">
        <v>7013.46</v>
      </c>
    </row>
    <row r="1106" spans="1:7" x14ac:dyDescent="0.3">
      <c r="A1106" t="s">
        <v>41</v>
      </c>
      <c r="B1106" t="s">
        <v>28</v>
      </c>
      <c r="C1106" t="s">
        <v>22</v>
      </c>
      <c r="D1106" t="s">
        <v>18</v>
      </c>
      <c r="E1106" s="17">
        <v>17632.98</v>
      </c>
      <c r="F1106" s="17">
        <v>6319.33</v>
      </c>
      <c r="G1106" s="17">
        <v>6319.33</v>
      </c>
    </row>
    <row r="1107" spans="1:7" x14ac:dyDescent="0.3">
      <c r="A1107" t="s">
        <v>41</v>
      </c>
      <c r="B1107" t="s">
        <v>28</v>
      </c>
      <c r="C1107" t="s">
        <v>22</v>
      </c>
      <c r="D1107" t="s">
        <v>19</v>
      </c>
      <c r="E1107" s="17">
        <v>3970.96</v>
      </c>
      <c r="F1107" s="17">
        <v>1378.03</v>
      </c>
      <c r="G1107" s="17">
        <v>1378.03</v>
      </c>
    </row>
    <row r="1108" spans="1:7" x14ac:dyDescent="0.3">
      <c r="A1108" t="s">
        <v>41</v>
      </c>
      <c r="B1108" t="s">
        <v>28</v>
      </c>
      <c r="C1108" t="s">
        <v>22</v>
      </c>
      <c r="D1108" t="s">
        <v>20</v>
      </c>
      <c r="E1108" s="17">
        <v>20355.27</v>
      </c>
      <c r="F1108" s="17">
        <v>7583.1399999999994</v>
      </c>
      <c r="G1108" s="17">
        <v>7583.14</v>
      </c>
    </row>
    <row r="1109" spans="1:7" x14ac:dyDescent="0.3">
      <c r="A1109" t="s">
        <v>41</v>
      </c>
      <c r="B1109" t="s">
        <v>28</v>
      </c>
      <c r="C1109" t="s">
        <v>22</v>
      </c>
      <c r="D1109" t="s">
        <v>21</v>
      </c>
      <c r="E1109" s="17">
        <v>3886.87</v>
      </c>
      <c r="F1109" s="17">
        <v>861.48</v>
      </c>
      <c r="G1109" s="17">
        <v>861.48</v>
      </c>
    </row>
    <row r="1110" spans="1:7" x14ac:dyDescent="0.3">
      <c r="A1110" t="s">
        <v>41</v>
      </c>
      <c r="B1110" t="s">
        <v>28</v>
      </c>
      <c r="C1110" t="s">
        <v>23</v>
      </c>
      <c r="D1110" t="s">
        <v>18</v>
      </c>
      <c r="E1110" s="17">
        <v>18368.57</v>
      </c>
      <c r="F1110" s="17">
        <v>6450.18</v>
      </c>
      <c r="G1110" s="17">
        <v>6450.18</v>
      </c>
    </row>
    <row r="1111" spans="1:7" x14ac:dyDescent="0.3">
      <c r="A1111" t="s">
        <v>41</v>
      </c>
      <c r="B1111" t="s">
        <v>28</v>
      </c>
      <c r="C1111" t="s">
        <v>23</v>
      </c>
      <c r="D1111" t="s">
        <v>19</v>
      </c>
      <c r="E1111" s="17">
        <v>19012.07</v>
      </c>
      <c r="F1111" s="17">
        <v>5047.76</v>
      </c>
      <c r="G1111" s="17">
        <v>5047.76</v>
      </c>
    </row>
    <row r="1112" spans="1:7" x14ac:dyDescent="0.3">
      <c r="A1112" t="s">
        <v>41</v>
      </c>
      <c r="B1112" t="s">
        <v>28</v>
      </c>
      <c r="C1112" t="s">
        <v>23</v>
      </c>
      <c r="D1112" t="s">
        <v>20</v>
      </c>
      <c r="E1112" s="17">
        <v>4450.67</v>
      </c>
      <c r="F1112" s="17">
        <v>807.36000000000013</v>
      </c>
      <c r="G1112" s="17">
        <v>807.36</v>
      </c>
    </row>
    <row r="1113" spans="1:7" x14ac:dyDescent="0.3">
      <c r="A1113" t="s">
        <v>41</v>
      </c>
      <c r="B1113" t="s">
        <v>28</v>
      </c>
      <c r="C1113" t="s">
        <v>23</v>
      </c>
      <c r="D1113" t="s">
        <v>21</v>
      </c>
      <c r="E1113" s="17">
        <v>9090.15</v>
      </c>
      <c r="F1113" s="17">
        <v>2519.59</v>
      </c>
      <c r="G1113" s="17">
        <v>2519.59</v>
      </c>
    </row>
    <row r="1114" spans="1:7" x14ac:dyDescent="0.3">
      <c r="A1114" t="s">
        <v>41</v>
      </c>
      <c r="B1114" t="s">
        <v>28</v>
      </c>
      <c r="C1114" t="s">
        <v>24</v>
      </c>
      <c r="D1114" t="s">
        <v>18</v>
      </c>
      <c r="E1114" s="17">
        <v>8204.6299999999992</v>
      </c>
      <c r="F1114" s="17">
        <v>1770.37</v>
      </c>
      <c r="G1114" s="17">
        <v>1770.37</v>
      </c>
    </row>
    <row r="1115" spans="1:7" x14ac:dyDescent="0.3">
      <c r="A1115" t="s">
        <v>41</v>
      </c>
      <c r="B1115" t="s">
        <v>28</v>
      </c>
      <c r="C1115" t="s">
        <v>24</v>
      </c>
      <c r="D1115" t="s">
        <v>19</v>
      </c>
      <c r="E1115" s="17">
        <v>6310.01</v>
      </c>
      <c r="F1115" s="17">
        <v>1900.5</v>
      </c>
      <c r="G1115" s="17">
        <v>1900.5</v>
      </c>
    </row>
    <row r="1116" spans="1:7" x14ac:dyDescent="0.3">
      <c r="A1116" t="s">
        <v>41</v>
      </c>
      <c r="B1116" t="s">
        <v>28</v>
      </c>
      <c r="C1116" t="s">
        <v>24</v>
      </c>
      <c r="D1116" t="s">
        <v>20</v>
      </c>
      <c r="E1116" s="17">
        <v>14759.02</v>
      </c>
      <c r="F1116" s="17">
        <v>4282.6499999999996</v>
      </c>
      <c r="G1116" s="17">
        <v>4282.6499999999996</v>
      </c>
    </row>
    <row r="1117" spans="1:7" x14ac:dyDescent="0.3">
      <c r="A1117" t="s">
        <v>41</v>
      </c>
      <c r="B1117" t="s">
        <v>28</v>
      </c>
      <c r="C1117" t="s">
        <v>24</v>
      </c>
      <c r="D1117" t="s">
        <v>21</v>
      </c>
      <c r="E1117" s="17">
        <v>2604.02</v>
      </c>
      <c r="F1117" s="17">
        <v>717.56</v>
      </c>
      <c r="G1117" s="17">
        <v>717.56</v>
      </c>
    </row>
    <row r="1118" spans="1:7" x14ac:dyDescent="0.3">
      <c r="A1118" t="s">
        <v>41</v>
      </c>
      <c r="B1118" t="s">
        <v>28</v>
      </c>
      <c r="C1118" t="s">
        <v>25</v>
      </c>
      <c r="D1118" t="s">
        <v>18</v>
      </c>
      <c r="E1118" s="17">
        <v>4140.4799999999996</v>
      </c>
      <c r="F1118" s="17">
        <v>1413.86</v>
      </c>
      <c r="G1118" s="17">
        <v>1413.86</v>
      </c>
    </row>
    <row r="1119" spans="1:7" x14ac:dyDescent="0.3">
      <c r="A1119" t="s">
        <v>41</v>
      </c>
      <c r="B1119" t="s">
        <v>28</v>
      </c>
      <c r="C1119" t="s">
        <v>25</v>
      </c>
      <c r="D1119" t="s">
        <v>19</v>
      </c>
      <c r="E1119" s="17">
        <v>9461.9</v>
      </c>
      <c r="F1119" s="17">
        <v>2687.309999999999</v>
      </c>
      <c r="G1119" s="17">
        <v>2687.31</v>
      </c>
    </row>
    <row r="1120" spans="1:7" x14ac:dyDescent="0.3">
      <c r="A1120" t="s">
        <v>41</v>
      </c>
      <c r="B1120" t="s">
        <v>28</v>
      </c>
      <c r="C1120" t="s">
        <v>25</v>
      </c>
      <c r="D1120" t="s">
        <v>20</v>
      </c>
      <c r="E1120" s="17">
        <v>8712.49</v>
      </c>
      <c r="F1120" s="17">
        <v>2480.5</v>
      </c>
      <c r="G1120" s="17">
        <v>2480.5</v>
      </c>
    </row>
    <row r="1121" spans="1:7" x14ac:dyDescent="0.3">
      <c r="A1121" t="s">
        <v>41</v>
      </c>
      <c r="B1121" t="s">
        <v>28</v>
      </c>
      <c r="C1121" t="s">
        <v>25</v>
      </c>
      <c r="D1121" t="s">
        <v>21</v>
      </c>
      <c r="E1121" s="17">
        <v>3948.09</v>
      </c>
      <c r="F1121" s="17">
        <v>1671.25</v>
      </c>
      <c r="G1121" s="17">
        <v>1671.25</v>
      </c>
    </row>
    <row r="1122" spans="1:7" x14ac:dyDescent="0.3">
      <c r="A1122" t="s">
        <v>42</v>
      </c>
      <c r="B1122" t="s">
        <v>16</v>
      </c>
      <c r="C1122" t="s">
        <v>17</v>
      </c>
      <c r="D1122" t="s">
        <v>18</v>
      </c>
      <c r="E1122" s="17">
        <v>22819.77</v>
      </c>
      <c r="F1122" s="17">
        <v>10134.41</v>
      </c>
      <c r="G1122" s="17">
        <v>10134.41</v>
      </c>
    </row>
    <row r="1123" spans="1:7" x14ac:dyDescent="0.3">
      <c r="A1123" t="s">
        <v>42</v>
      </c>
      <c r="B1123" t="s">
        <v>16</v>
      </c>
      <c r="C1123" t="s">
        <v>17</v>
      </c>
      <c r="D1123" t="s">
        <v>19</v>
      </c>
      <c r="E1123" s="17">
        <v>15155.09</v>
      </c>
      <c r="F1123" s="17">
        <v>3421.83</v>
      </c>
      <c r="G1123" s="17">
        <v>3421.83</v>
      </c>
    </row>
    <row r="1124" spans="1:7" x14ac:dyDescent="0.3">
      <c r="A1124" t="s">
        <v>42</v>
      </c>
      <c r="B1124" t="s">
        <v>16</v>
      </c>
      <c r="C1124" t="s">
        <v>17</v>
      </c>
      <c r="D1124" t="s">
        <v>20</v>
      </c>
      <c r="E1124" s="17">
        <v>10756.84</v>
      </c>
      <c r="F1124" s="17">
        <v>2339.4699999999989</v>
      </c>
      <c r="G1124" s="17">
        <v>2339.4699999999998</v>
      </c>
    </row>
    <row r="1125" spans="1:7" x14ac:dyDescent="0.3">
      <c r="A1125" t="s">
        <v>42</v>
      </c>
      <c r="B1125" t="s">
        <v>16</v>
      </c>
      <c r="C1125" t="s">
        <v>17</v>
      </c>
      <c r="D1125" t="s">
        <v>21</v>
      </c>
      <c r="E1125" s="17">
        <v>8926.02</v>
      </c>
      <c r="F1125" s="17">
        <v>2795.12</v>
      </c>
      <c r="G1125" s="17">
        <v>2795.12</v>
      </c>
    </row>
    <row r="1126" spans="1:7" x14ac:dyDescent="0.3">
      <c r="A1126" t="s">
        <v>42</v>
      </c>
      <c r="B1126" t="s">
        <v>16</v>
      </c>
      <c r="C1126" t="s">
        <v>22</v>
      </c>
      <c r="D1126" t="s">
        <v>18</v>
      </c>
      <c r="E1126" s="17">
        <v>3455.14</v>
      </c>
      <c r="F1126" s="17">
        <v>1027.43</v>
      </c>
      <c r="G1126" s="17">
        <v>1027.43</v>
      </c>
    </row>
    <row r="1127" spans="1:7" x14ac:dyDescent="0.3">
      <c r="A1127" t="s">
        <v>42</v>
      </c>
      <c r="B1127" t="s">
        <v>16</v>
      </c>
      <c r="C1127" t="s">
        <v>22</v>
      </c>
      <c r="D1127" t="s">
        <v>19</v>
      </c>
      <c r="E1127" s="17">
        <v>11685.35</v>
      </c>
      <c r="F1127" s="17">
        <v>3631.13</v>
      </c>
      <c r="G1127" s="17">
        <v>3631.13</v>
      </c>
    </row>
    <row r="1128" spans="1:7" x14ac:dyDescent="0.3">
      <c r="A1128" t="s">
        <v>42</v>
      </c>
      <c r="B1128" t="s">
        <v>16</v>
      </c>
      <c r="C1128" t="s">
        <v>22</v>
      </c>
      <c r="D1128" t="s">
        <v>20</v>
      </c>
      <c r="E1128" s="17">
        <v>3769.19</v>
      </c>
      <c r="F1128" s="17">
        <v>934.59999999999991</v>
      </c>
      <c r="G1128" s="17">
        <v>934.6</v>
      </c>
    </row>
    <row r="1129" spans="1:7" x14ac:dyDescent="0.3">
      <c r="A1129" t="s">
        <v>42</v>
      </c>
      <c r="B1129" t="s">
        <v>16</v>
      </c>
      <c r="C1129" t="s">
        <v>22</v>
      </c>
      <c r="D1129" t="s">
        <v>21</v>
      </c>
      <c r="E1129" s="17">
        <v>7671.57</v>
      </c>
      <c r="F1129" s="17">
        <v>2675.5300000000011</v>
      </c>
      <c r="G1129" s="17">
        <v>2675.53</v>
      </c>
    </row>
    <row r="1130" spans="1:7" x14ac:dyDescent="0.3">
      <c r="A1130" t="s">
        <v>42</v>
      </c>
      <c r="B1130" t="s">
        <v>16</v>
      </c>
      <c r="C1130" t="s">
        <v>23</v>
      </c>
      <c r="D1130" t="s">
        <v>18</v>
      </c>
      <c r="E1130" s="17">
        <v>15657.55</v>
      </c>
      <c r="F1130" s="17">
        <v>3645.0499999999988</v>
      </c>
      <c r="G1130" s="17">
        <v>3645.05</v>
      </c>
    </row>
    <row r="1131" spans="1:7" x14ac:dyDescent="0.3">
      <c r="A1131" t="s">
        <v>42</v>
      </c>
      <c r="B1131" t="s">
        <v>16</v>
      </c>
      <c r="C1131" t="s">
        <v>23</v>
      </c>
      <c r="D1131" t="s">
        <v>19</v>
      </c>
      <c r="E1131" s="17">
        <v>4460.3599999999997</v>
      </c>
      <c r="F1131" s="17">
        <v>1169.76</v>
      </c>
      <c r="G1131" s="17">
        <v>1169.76</v>
      </c>
    </row>
    <row r="1132" spans="1:7" x14ac:dyDescent="0.3">
      <c r="A1132" t="s">
        <v>42</v>
      </c>
      <c r="B1132" t="s">
        <v>16</v>
      </c>
      <c r="C1132" t="s">
        <v>23</v>
      </c>
      <c r="D1132" t="s">
        <v>20</v>
      </c>
      <c r="E1132" s="17">
        <v>23822.94</v>
      </c>
      <c r="F1132" s="17">
        <v>6425.0099999999984</v>
      </c>
      <c r="G1132" s="17">
        <v>6425.01</v>
      </c>
    </row>
    <row r="1133" spans="1:7" x14ac:dyDescent="0.3">
      <c r="A1133" t="s">
        <v>42</v>
      </c>
      <c r="B1133" t="s">
        <v>16</v>
      </c>
      <c r="C1133" t="s">
        <v>23</v>
      </c>
      <c r="D1133" t="s">
        <v>21</v>
      </c>
      <c r="E1133" s="17">
        <v>16264.42</v>
      </c>
      <c r="F1133" s="17">
        <v>6458.6099999999988</v>
      </c>
      <c r="G1133" s="17">
        <v>6458.61</v>
      </c>
    </row>
    <row r="1134" spans="1:7" x14ac:dyDescent="0.3">
      <c r="A1134" t="s">
        <v>42</v>
      </c>
      <c r="B1134" t="s">
        <v>16</v>
      </c>
      <c r="C1134" t="s">
        <v>24</v>
      </c>
      <c r="D1134" t="s">
        <v>18</v>
      </c>
      <c r="E1134" s="17">
        <v>9579.4599999999991</v>
      </c>
      <c r="F1134" s="17">
        <v>2590.08</v>
      </c>
      <c r="G1134" s="17">
        <v>2590.08</v>
      </c>
    </row>
    <row r="1135" spans="1:7" x14ac:dyDescent="0.3">
      <c r="A1135" t="s">
        <v>42</v>
      </c>
      <c r="B1135" t="s">
        <v>16</v>
      </c>
      <c r="C1135" t="s">
        <v>24</v>
      </c>
      <c r="D1135" t="s">
        <v>19</v>
      </c>
      <c r="E1135" s="17">
        <v>20755.939999999999</v>
      </c>
      <c r="F1135" s="17">
        <v>8552.84</v>
      </c>
      <c r="G1135" s="17">
        <v>8552.84</v>
      </c>
    </row>
    <row r="1136" spans="1:7" x14ac:dyDescent="0.3">
      <c r="A1136" t="s">
        <v>42</v>
      </c>
      <c r="B1136" t="s">
        <v>16</v>
      </c>
      <c r="C1136" t="s">
        <v>24</v>
      </c>
      <c r="D1136" t="s">
        <v>20</v>
      </c>
      <c r="E1136" s="17">
        <v>24407.18</v>
      </c>
      <c r="F1136" s="17">
        <v>5290.34</v>
      </c>
      <c r="G1136" s="17">
        <v>5290.34</v>
      </c>
    </row>
    <row r="1137" spans="1:7" x14ac:dyDescent="0.3">
      <c r="A1137" t="s">
        <v>42</v>
      </c>
      <c r="B1137" t="s">
        <v>16</v>
      </c>
      <c r="C1137" t="s">
        <v>24</v>
      </c>
      <c r="D1137" t="s">
        <v>21</v>
      </c>
      <c r="E1137" s="17">
        <v>9375.2999999999993</v>
      </c>
      <c r="F1137" s="17">
        <v>4085.43</v>
      </c>
      <c r="G1137" s="17">
        <v>4085.43</v>
      </c>
    </row>
    <row r="1138" spans="1:7" x14ac:dyDescent="0.3">
      <c r="A1138" t="s">
        <v>42</v>
      </c>
      <c r="B1138" t="s">
        <v>16</v>
      </c>
      <c r="C1138" t="s">
        <v>25</v>
      </c>
      <c r="D1138" t="s">
        <v>18</v>
      </c>
      <c r="E1138" s="17">
        <v>6619.58</v>
      </c>
      <c r="F1138" s="17">
        <v>1753.059999999999</v>
      </c>
      <c r="G1138" s="17">
        <v>1753.06</v>
      </c>
    </row>
    <row r="1139" spans="1:7" x14ac:dyDescent="0.3">
      <c r="A1139" t="s">
        <v>42</v>
      </c>
      <c r="B1139" t="s">
        <v>16</v>
      </c>
      <c r="C1139" t="s">
        <v>25</v>
      </c>
      <c r="D1139" t="s">
        <v>19</v>
      </c>
      <c r="E1139" s="17">
        <v>24185.22</v>
      </c>
      <c r="F1139" s="17">
        <v>10679.12</v>
      </c>
      <c r="G1139" s="17">
        <v>10679.12</v>
      </c>
    </row>
    <row r="1140" spans="1:7" x14ac:dyDescent="0.3">
      <c r="A1140" t="s">
        <v>42</v>
      </c>
      <c r="B1140" t="s">
        <v>16</v>
      </c>
      <c r="C1140" t="s">
        <v>25</v>
      </c>
      <c r="D1140" t="s">
        <v>20</v>
      </c>
      <c r="E1140" s="17">
        <v>8703.31</v>
      </c>
      <c r="F1140" s="17">
        <v>3199.67</v>
      </c>
      <c r="G1140" s="17">
        <v>3199.67</v>
      </c>
    </row>
    <row r="1141" spans="1:7" x14ac:dyDescent="0.3">
      <c r="A1141" t="s">
        <v>42</v>
      </c>
      <c r="B1141" t="s">
        <v>16</v>
      </c>
      <c r="C1141" t="s">
        <v>25</v>
      </c>
      <c r="D1141" t="s">
        <v>21</v>
      </c>
      <c r="E1141" s="17">
        <v>13293.17</v>
      </c>
      <c r="F1141" s="17">
        <v>4459.6900000000014</v>
      </c>
      <c r="G1141" s="17">
        <v>4459.6899999999996</v>
      </c>
    </row>
    <row r="1142" spans="1:7" x14ac:dyDescent="0.3">
      <c r="A1142" t="s">
        <v>42</v>
      </c>
      <c r="B1142" t="s">
        <v>26</v>
      </c>
      <c r="C1142" t="s">
        <v>17</v>
      </c>
      <c r="D1142" t="s">
        <v>18</v>
      </c>
      <c r="E1142" s="17">
        <v>7575.76</v>
      </c>
      <c r="F1142" s="17">
        <v>2132.84</v>
      </c>
      <c r="G1142" s="17">
        <v>2132.84</v>
      </c>
    </row>
    <row r="1143" spans="1:7" x14ac:dyDescent="0.3">
      <c r="A1143" t="s">
        <v>42</v>
      </c>
      <c r="B1143" t="s">
        <v>26</v>
      </c>
      <c r="C1143" t="s">
        <v>17</v>
      </c>
      <c r="D1143" t="s">
        <v>19</v>
      </c>
      <c r="E1143" s="17">
        <v>20779.37</v>
      </c>
      <c r="F1143" s="17">
        <v>5944.82</v>
      </c>
      <c r="G1143" s="17">
        <v>5944.82</v>
      </c>
    </row>
    <row r="1144" spans="1:7" x14ac:dyDescent="0.3">
      <c r="A1144" t="s">
        <v>42</v>
      </c>
      <c r="B1144" t="s">
        <v>26</v>
      </c>
      <c r="C1144" t="s">
        <v>17</v>
      </c>
      <c r="D1144" t="s">
        <v>20</v>
      </c>
      <c r="E1144" s="17">
        <v>4619.42</v>
      </c>
      <c r="F1144" s="17">
        <v>1534.75</v>
      </c>
      <c r="G1144" s="17">
        <v>1534.75</v>
      </c>
    </row>
    <row r="1145" spans="1:7" x14ac:dyDescent="0.3">
      <c r="A1145" t="s">
        <v>42</v>
      </c>
      <c r="B1145" t="s">
        <v>26</v>
      </c>
      <c r="C1145" t="s">
        <v>17</v>
      </c>
      <c r="D1145" t="s">
        <v>21</v>
      </c>
      <c r="E1145" s="17">
        <v>15621.22</v>
      </c>
      <c r="F1145" s="17">
        <v>5113.1400000000012</v>
      </c>
      <c r="G1145" s="17">
        <v>5113.1400000000003</v>
      </c>
    </row>
    <row r="1146" spans="1:7" x14ac:dyDescent="0.3">
      <c r="A1146" t="s">
        <v>42</v>
      </c>
      <c r="B1146" t="s">
        <v>26</v>
      </c>
      <c r="C1146" t="s">
        <v>22</v>
      </c>
      <c r="D1146" t="s">
        <v>18</v>
      </c>
      <c r="E1146" s="17">
        <v>17679.39</v>
      </c>
      <c r="F1146" s="17">
        <v>5808.15</v>
      </c>
      <c r="G1146" s="17">
        <v>5808.15</v>
      </c>
    </row>
    <row r="1147" spans="1:7" x14ac:dyDescent="0.3">
      <c r="A1147" t="s">
        <v>42</v>
      </c>
      <c r="B1147" t="s">
        <v>26</v>
      </c>
      <c r="C1147" t="s">
        <v>22</v>
      </c>
      <c r="D1147" t="s">
        <v>19</v>
      </c>
      <c r="E1147" s="17">
        <v>23919.11</v>
      </c>
      <c r="F1147" s="17">
        <v>7286.6699999999983</v>
      </c>
      <c r="G1147" s="17">
        <v>7286.67</v>
      </c>
    </row>
    <row r="1148" spans="1:7" x14ac:dyDescent="0.3">
      <c r="A1148" t="s">
        <v>42</v>
      </c>
      <c r="B1148" t="s">
        <v>26</v>
      </c>
      <c r="C1148" t="s">
        <v>22</v>
      </c>
      <c r="D1148" t="s">
        <v>20</v>
      </c>
      <c r="E1148" s="17">
        <v>18292.439999999999</v>
      </c>
      <c r="F1148" s="17">
        <v>5458.15</v>
      </c>
      <c r="G1148" s="17">
        <v>5458.15</v>
      </c>
    </row>
    <row r="1149" spans="1:7" x14ac:dyDescent="0.3">
      <c r="A1149" t="s">
        <v>42</v>
      </c>
      <c r="B1149" t="s">
        <v>26</v>
      </c>
      <c r="C1149" t="s">
        <v>22</v>
      </c>
      <c r="D1149" t="s">
        <v>21</v>
      </c>
      <c r="E1149" s="17">
        <v>8700.6200000000008</v>
      </c>
      <c r="F1149" s="17">
        <v>3193.7</v>
      </c>
      <c r="G1149" s="17">
        <v>3193.7</v>
      </c>
    </row>
    <row r="1150" spans="1:7" x14ac:dyDescent="0.3">
      <c r="A1150" t="s">
        <v>42</v>
      </c>
      <c r="B1150" t="s">
        <v>26</v>
      </c>
      <c r="C1150" t="s">
        <v>23</v>
      </c>
      <c r="D1150" t="s">
        <v>18</v>
      </c>
      <c r="E1150" s="17">
        <v>20836.21</v>
      </c>
      <c r="F1150" s="17">
        <v>8226.7099999999991</v>
      </c>
      <c r="G1150" s="17">
        <v>8226.7099999999991</v>
      </c>
    </row>
    <row r="1151" spans="1:7" x14ac:dyDescent="0.3">
      <c r="A1151" t="s">
        <v>42</v>
      </c>
      <c r="B1151" t="s">
        <v>26</v>
      </c>
      <c r="C1151" t="s">
        <v>23</v>
      </c>
      <c r="D1151" t="s">
        <v>19</v>
      </c>
      <c r="E1151" s="17">
        <v>11410.26</v>
      </c>
      <c r="F1151" s="17">
        <v>3592.09</v>
      </c>
      <c r="G1151" s="17">
        <v>3592.09</v>
      </c>
    </row>
    <row r="1152" spans="1:7" x14ac:dyDescent="0.3">
      <c r="A1152" t="s">
        <v>42</v>
      </c>
      <c r="B1152" t="s">
        <v>26</v>
      </c>
      <c r="C1152" t="s">
        <v>23</v>
      </c>
      <c r="D1152" t="s">
        <v>20</v>
      </c>
      <c r="E1152" s="17">
        <v>16566.73</v>
      </c>
      <c r="F1152" s="17">
        <v>4064.58</v>
      </c>
      <c r="G1152" s="17">
        <v>4064.58</v>
      </c>
    </row>
    <row r="1153" spans="1:7" x14ac:dyDescent="0.3">
      <c r="A1153" t="s">
        <v>42</v>
      </c>
      <c r="B1153" t="s">
        <v>26</v>
      </c>
      <c r="C1153" t="s">
        <v>23</v>
      </c>
      <c r="D1153" t="s">
        <v>21</v>
      </c>
      <c r="E1153" s="17">
        <v>17149.25</v>
      </c>
      <c r="F1153" s="17">
        <v>6398.619999999999</v>
      </c>
      <c r="G1153" s="17">
        <v>6398.62</v>
      </c>
    </row>
    <row r="1154" spans="1:7" x14ac:dyDescent="0.3">
      <c r="A1154" t="s">
        <v>42</v>
      </c>
      <c r="B1154" t="s">
        <v>26</v>
      </c>
      <c r="C1154" t="s">
        <v>24</v>
      </c>
      <c r="D1154" t="s">
        <v>18</v>
      </c>
      <c r="E1154" s="17">
        <v>20148.77</v>
      </c>
      <c r="F1154" s="17">
        <v>4029.16</v>
      </c>
      <c r="G1154" s="17">
        <v>4029.16</v>
      </c>
    </row>
    <row r="1155" spans="1:7" x14ac:dyDescent="0.3">
      <c r="A1155" t="s">
        <v>42</v>
      </c>
      <c r="B1155" t="s">
        <v>26</v>
      </c>
      <c r="C1155" t="s">
        <v>24</v>
      </c>
      <c r="D1155" t="s">
        <v>19</v>
      </c>
      <c r="E1155" s="17">
        <v>24786.11</v>
      </c>
      <c r="F1155" s="17">
        <v>7668.66</v>
      </c>
      <c r="G1155" s="17">
        <v>7668.66</v>
      </c>
    </row>
    <row r="1156" spans="1:7" x14ac:dyDescent="0.3">
      <c r="A1156" t="s">
        <v>42</v>
      </c>
      <c r="B1156" t="s">
        <v>26</v>
      </c>
      <c r="C1156" t="s">
        <v>24</v>
      </c>
      <c r="D1156" t="s">
        <v>20</v>
      </c>
      <c r="E1156" s="17">
        <v>11218.52</v>
      </c>
      <c r="F1156" s="17">
        <v>3553.860000000001</v>
      </c>
      <c r="G1156" s="17">
        <v>3553.86</v>
      </c>
    </row>
    <row r="1157" spans="1:7" x14ac:dyDescent="0.3">
      <c r="A1157" t="s">
        <v>42</v>
      </c>
      <c r="B1157" t="s">
        <v>26</v>
      </c>
      <c r="C1157" t="s">
        <v>24</v>
      </c>
      <c r="D1157" t="s">
        <v>21</v>
      </c>
      <c r="E1157" s="17">
        <v>23169.02</v>
      </c>
      <c r="F1157" s="17">
        <v>8497.5</v>
      </c>
      <c r="G1157" s="17">
        <v>8497.5</v>
      </c>
    </row>
    <row r="1158" spans="1:7" x14ac:dyDescent="0.3">
      <c r="A1158" t="s">
        <v>42</v>
      </c>
      <c r="B1158" t="s">
        <v>26</v>
      </c>
      <c r="C1158" t="s">
        <v>25</v>
      </c>
      <c r="D1158" t="s">
        <v>18</v>
      </c>
      <c r="E1158" s="17">
        <v>14503.84</v>
      </c>
      <c r="F1158" s="17">
        <v>5707.18</v>
      </c>
      <c r="G1158" s="17">
        <v>5707.18</v>
      </c>
    </row>
    <row r="1159" spans="1:7" x14ac:dyDescent="0.3">
      <c r="A1159" t="s">
        <v>42</v>
      </c>
      <c r="B1159" t="s">
        <v>26</v>
      </c>
      <c r="C1159" t="s">
        <v>25</v>
      </c>
      <c r="D1159" t="s">
        <v>19</v>
      </c>
      <c r="E1159" s="17">
        <v>10269.18</v>
      </c>
      <c r="F1159" s="17">
        <v>4331.3900000000003</v>
      </c>
      <c r="G1159" s="17">
        <v>4331.3900000000003</v>
      </c>
    </row>
    <row r="1160" spans="1:7" x14ac:dyDescent="0.3">
      <c r="A1160" t="s">
        <v>42</v>
      </c>
      <c r="B1160" t="s">
        <v>26</v>
      </c>
      <c r="C1160" t="s">
        <v>25</v>
      </c>
      <c r="D1160" t="s">
        <v>20</v>
      </c>
      <c r="E1160" s="17">
        <v>14348.84</v>
      </c>
      <c r="F1160" s="17">
        <v>5055.2200000000012</v>
      </c>
      <c r="G1160" s="17">
        <v>5055.22</v>
      </c>
    </row>
    <row r="1161" spans="1:7" x14ac:dyDescent="0.3">
      <c r="A1161" t="s">
        <v>42</v>
      </c>
      <c r="B1161" t="s">
        <v>26</v>
      </c>
      <c r="C1161" t="s">
        <v>25</v>
      </c>
      <c r="D1161" t="s">
        <v>21</v>
      </c>
      <c r="E1161" s="17">
        <v>3954.58</v>
      </c>
      <c r="F1161" s="17">
        <v>1532.86</v>
      </c>
      <c r="G1161" s="17">
        <v>1532.86</v>
      </c>
    </row>
    <row r="1162" spans="1:7" x14ac:dyDescent="0.3">
      <c r="A1162" t="s">
        <v>42</v>
      </c>
      <c r="B1162" t="s">
        <v>27</v>
      </c>
      <c r="C1162" t="s">
        <v>17</v>
      </c>
      <c r="D1162" t="s">
        <v>18</v>
      </c>
      <c r="E1162" s="17">
        <v>17124.84</v>
      </c>
      <c r="F1162" s="17">
        <v>4723.93</v>
      </c>
      <c r="G1162" s="17">
        <v>4723.93</v>
      </c>
    </row>
    <row r="1163" spans="1:7" x14ac:dyDescent="0.3">
      <c r="A1163" t="s">
        <v>42</v>
      </c>
      <c r="B1163" t="s">
        <v>27</v>
      </c>
      <c r="C1163" t="s">
        <v>17</v>
      </c>
      <c r="D1163" t="s">
        <v>19</v>
      </c>
      <c r="E1163" s="17">
        <v>16881</v>
      </c>
      <c r="F1163" s="17">
        <v>3240.48</v>
      </c>
      <c r="G1163" s="17">
        <v>3240.48</v>
      </c>
    </row>
    <row r="1164" spans="1:7" x14ac:dyDescent="0.3">
      <c r="A1164" t="s">
        <v>42</v>
      </c>
      <c r="B1164" t="s">
        <v>27</v>
      </c>
      <c r="C1164" t="s">
        <v>17</v>
      </c>
      <c r="D1164" t="s">
        <v>20</v>
      </c>
      <c r="E1164" s="17">
        <v>24622.99</v>
      </c>
      <c r="F1164" s="17">
        <v>8936.11</v>
      </c>
      <c r="G1164" s="17">
        <v>8936.11</v>
      </c>
    </row>
    <row r="1165" spans="1:7" x14ac:dyDescent="0.3">
      <c r="A1165" t="s">
        <v>42</v>
      </c>
      <c r="B1165" t="s">
        <v>27</v>
      </c>
      <c r="C1165" t="s">
        <v>17</v>
      </c>
      <c r="D1165" t="s">
        <v>21</v>
      </c>
      <c r="E1165" s="17">
        <v>11191.21</v>
      </c>
      <c r="F1165" s="17">
        <v>4288.74</v>
      </c>
      <c r="G1165" s="17">
        <v>4288.74</v>
      </c>
    </row>
    <row r="1166" spans="1:7" x14ac:dyDescent="0.3">
      <c r="A1166" t="s">
        <v>42</v>
      </c>
      <c r="B1166" t="s">
        <v>27</v>
      </c>
      <c r="C1166" t="s">
        <v>22</v>
      </c>
      <c r="D1166" t="s">
        <v>18</v>
      </c>
      <c r="E1166" s="17">
        <v>24211.49</v>
      </c>
      <c r="F1166" s="17">
        <v>7172</v>
      </c>
      <c r="G1166" s="17">
        <v>7172</v>
      </c>
    </row>
    <row r="1167" spans="1:7" x14ac:dyDescent="0.3">
      <c r="A1167" t="s">
        <v>42</v>
      </c>
      <c r="B1167" t="s">
        <v>27</v>
      </c>
      <c r="C1167" t="s">
        <v>22</v>
      </c>
      <c r="D1167" t="s">
        <v>19</v>
      </c>
      <c r="E1167" s="17">
        <v>2242.6</v>
      </c>
      <c r="F1167" s="17">
        <v>560.32999999999993</v>
      </c>
      <c r="G1167" s="17">
        <v>560.33000000000004</v>
      </c>
    </row>
    <row r="1168" spans="1:7" x14ac:dyDescent="0.3">
      <c r="A1168" t="s">
        <v>42</v>
      </c>
      <c r="B1168" t="s">
        <v>27</v>
      </c>
      <c r="C1168" t="s">
        <v>22</v>
      </c>
      <c r="D1168" t="s">
        <v>20</v>
      </c>
      <c r="E1168" s="17">
        <v>13745.55</v>
      </c>
      <c r="F1168" s="17">
        <v>4399.6100000000006</v>
      </c>
      <c r="G1168" s="17">
        <v>4399.6099999999997</v>
      </c>
    </row>
    <row r="1169" spans="1:7" x14ac:dyDescent="0.3">
      <c r="A1169" t="s">
        <v>42</v>
      </c>
      <c r="B1169" t="s">
        <v>27</v>
      </c>
      <c r="C1169" t="s">
        <v>22</v>
      </c>
      <c r="D1169" t="s">
        <v>21</v>
      </c>
      <c r="E1169" s="17">
        <v>15351.92</v>
      </c>
      <c r="F1169" s="17">
        <v>5147.7100000000009</v>
      </c>
      <c r="G1169" s="17">
        <v>5147.71</v>
      </c>
    </row>
    <row r="1170" spans="1:7" x14ac:dyDescent="0.3">
      <c r="A1170" t="s">
        <v>42</v>
      </c>
      <c r="B1170" t="s">
        <v>27</v>
      </c>
      <c r="C1170" t="s">
        <v>23</v>
      </c>
      <c r="D1170" t="s">
        <v>18</v>
      </c>
      <c r="E1170" s="17">
        <v>12252.91</v>
      </c>
      <c r="F1170" s="17">
        <v>3499.51</v>
      </c>
      <c r="G1170" s="17">
        <v>3499.51</v>
      </c>
    </row>
    <row r="1171" spans="1:7" x14ac:dyDescent="0.3">
      <c r="A1171" t="s">
        <v>42</v>
      </c>
      <c r="B1171" t="s">
        <v>27</v>
      </c>
      <c r="C1171" t="s">
        <v>23</v>
      </c>
      <c r="D1171" t="s">
        <v>19</v>
      </c>
      <c r="E1171" s="17">
        <v>19763.87</v>
      </c>
      <c r="F1171" s="17">
        <v>6698.3600000000006</v>
      </c>
      <c r="G1171" s="17">
        <v>6698.36</v>
      </c>
    </row>
    <row r="1172" spans="1:7" x14ac:dyDescent="0.3">
      <c r="A1172" t="s">
        <v>42</v>
      </c>
      <c r="B1172" t="s">
        <v>27</v>
      </c>
      <c r="C1172" t="s">
        <v>23</v>
      </c>
      <c r="D1172" t="s">
        <v>20</v>
      </c>
      <c r="E1172" s="17">
        <v>13510.71</v>
      </c>
      <c r="F1172" s="17">
        <v>3690.33</v>
      </c>
      <c r="G1172" s="17">
        <v>3690.33</v>
      </c>
    </row>
    <row r="1173" spans="1:7" x14ac:dyDescent="0.3">
      <c r="A1173" t="s">
        <v>42</v>
      </c>
      <c r="B1173" t="s">
        <v>27</v>
      </c>
      <c r="C1173" t="s">
        <v>23</v>
      </c>
      <c r="D1173" t="s">
        <v>21</v>
      </c>
      <c r="E1173" s="17">
        <v>2564.94</v>
      </c>
      <c r="F1173" s="17">
        <v>534.09000000000015</v>
      </c>
      <c r="G1173" s="17">
        <v>534.09</v>
      </c>
    </row>
    <row r="1174" spans="1:7" x14ac:dyDescent="0.3">
      <c r="A1174" t="s">
        <v>42</v>
      </c>
      <c r="B1174" t="s">
        <v>27</v>
      </c>
      <c r="C1174" t="s">
        <v>24</v>
      </c>
      <c r="D1174" t="s">
        <v>18</v>
      </c>
      <c r="E1174" s="17">
        <v>11567.43</v>
      </c>
      <c r="F1174" s="17">
        <v>5085.8100000000004</v>
      </c>
      <c r="G1174" s="17">
        <v>5085.8100000000004</v>
      </c>
    </row>
    <row r="1175" spans="1:7" x14ac:dyDescent="0.3">
      <c r="A1175" t="s">
        <v>42</v>
      </c>
      <c r="B1175" t="s">
        <v>27</v>
      </c>
      <c r="C1175" t="s">
        <v>24</v>
      </c>
      <c r="D1175" t="s">
        <v>19</v>
      </c>
      <c r="E1175" s="17">
        <v>4669.59</v>
      </c>
      <c r="F1175" s="17">
        <v>2026.52</v>
      </c>
      <c r="G1175" s="17">
        <v>2026.52</v>
      </c>
    </row>
    <row r="1176" spans="1:7" x14ac:dyDescent="0.3">
      <c r="A1176" t="s">
        <v>42</v>
      </c>
      <c r="B1176" t="s">
        <v>27</v>
      </c>
      <c r="C1176" t="s">
        <v>24</v>
      </c>
      <c r="D1176" t="s">
        <v>20</v>
      </c>
      <c r="E1176" s="17">
        <v>5258.53</v>
      </c>
      <c r="F1176" s="17">
        <v>1389.36</v>
      </c>
      <c r="G1176" s="17">
        <v>1389.36</v>
      </c>
    </row>
    <row r="1177" spans="1:7" x14ac:dyDescent="0.3">
      <c r="A1177" t="s">
        <v>42</v>
      </c>
      <c r="B1177" t="s">
        <v>27</v>
      </c>
      <c r="C1177" t="s">
        <v>24</v>
      </c>
      <c r="D1177" t="s">
        <v>21</v>
      </c>
      <c r="E1177" s="17">
        <v>12472.65</v>
      </c>
      <c r="F1177" s="17">
        <v>2941.73</v>
      </c>
      <c r="G1177" s="17">
        <v>2941.73</v>
      </c>
    </row>
    <row r="1178" spans="1:7" x14ac:dyDescent="0.3">
      <c r="A1178" t="s">
        <v>42</v>
      </c>
      <c r="B1178" t="s">
        <v>27</v>
      </c>
      <c r="C1178" t="s">
        <v>25</v>
      </c>
      <c r="D1178" t="s">
        <v>18</v>
      </c>
      <c r="E1178" s="17">
        <v>13107.3</v>
      </c>
      <c r="F1178" s="17">
        <v>4044.440000000001</v>
      </c>
      <c r="G1178" s="17">
        <v>4044.44</v>
      </c>
    </row>
    <row r="1179" spans="1:7" x14ac:dyDescent="0.3">
      <c r="A1179" t="s">
        <v>42</v>
      </c>
      <c r="B1179" t="s">
        <v>27</v>
      </c>
      <c r="C1179" t="s">
        <v>25</v>
      </c>
      <c r="D1179" t="s">
        <v>19</v>
      </c>
      <c r="E1179" s="17">
        <v>12077.82</v>
      </c>
      <c r="F1179" s="17">
        <v>4446.16</v>
      </c>
      <c r="G1179" s="17">
        <v>4446.16</v>
      </c>
    </row>
    <row r="1180" spans="1:7" x14ac:dyDescent="0.3">
      <c r="A1180" t="s">
        <v>42</v>
      </c>
      <c r="B1180" t="s">
        <v>27</v>
      </c>
      <c r="C1180" t="s">
        <v>25</v>
      </c>
      <c r="D1180" t="s">
        <v>20</v>
      </c>
      <c r="E1180" s="17">
        <v>9334.92</v>
      </c>
      <c r="F1180" s="17">
        <v>2437.08</v>
      </c>
      <c r="G1180" s="17">
        <v>2437.08</v>
      </c>
    </row>
    <row r="1181" spans="1:7" x14ac:dyDescent="0.3">
      <c r="A1181" t="s">
        <v>42</v>
      </c>
      <c r="B1181" t="s">
        <v>27</v>
      </c>
      <c r="C1181" t="s">
        <v>25</v>
      </c>
      <c r="D1181" t="s">
        <v>21</v>
      </c>
      <c r="E1181" s="17">
        <v>20634.28</v>
      </c>
      <c r="F1181" s="17">
        <v>4355.34</v>
      </c>
      <c r="G1181" s="17">
        <v>4355.34</v>
      </c>
    </row>
    <row r="1182" spans="1:7" x14ac:dyDescent="0.3">
      <c r="A1182" t="s">
        <v>42</v>
      </c>
      <c r="B1182" t="s">
        <v>28</v>
      </c>
      <c r="C1182" t="s">
        <v>17</v>
      </c>
      <c r="D1182" t="s">
        <v>18</v>
      </c>
      <c r="E1182" s="17">
        <v>21531.14</v>
      </c>
      <c r="F1182" s="17">
        <v>7642.52</v>
      </c>
      <c r="G1182" s="17">
        <v>7642.52</v>
      </c>
    </row>
    <row r="1183" spans="1:7" x14ac:dyDescent="0.3">
      <c r="A1183" t="s">
        <v>42</v>
      </c>
      <c r="B1183" t="s">
        <v>28</v>
      </c>
      <c r="C1183" t="s">
        <v>17</v>
      </c>
      <c r="D1183" t="s">
        <v>19</v>
      </c>
      <c r="E1183" s="17">
        <v>17574.2</v>
      </c>
      <c r="F1183" s="17">
        <v>3943.2199999999989</v>
      </c>
      <c r="G1183" s="17">
        <v>3943.22</v>
      </c>
    </row>
    <row r="1184" spans="1:7" x14ac:dyDescent="0.3">
      <c r="A1184" t="s">
        <v>42</v>
      </c>
      <c r="B1184" t="s">
        <v>28</v>
      </c>
      <c r="C1184" t="s">
        <v>17</v>
      </c>
      <c r="D1184" t="s">
        <v>20</v>
      </c>
      <c r="E1184" s="17">
        <v>24629.71</v>
      </c>
      <c r="F1184" s="17">
        <v>6055.369999999999</v>
      </c>
      <c r="G1184" s="17">
        <v>6055.37</v>
      </c>
    </row>
    <row r="1185" spans="1:7" x14ac:dyDescent="0.3">
      <c r="A1185" t="s">
        <v>42</v>
      </c>
      <c r="B1185" t="s">
        <v>28</v>
      </c>
      <c r="C1185" t="s">
        <v>17</v>
      </c>
      <c r="D1185" t="s">
        <v>21</v>
      </c>
      <c r="E1185" s="17">
        <v>6012.42</v>
      </c>
      <c r="F1185" s="17">
        <v>1342.190000000001</v>
      </c>
      <c r="G1185" s="17">
        <v>1342.19</v>
      </c>
    </row>
    <row r="1186" spans="1:7" x14ac:dyDescent="0.3">
      <c r="A1186" t="s">
        <v>42</v>
      </c>
      <c r="B1186" t="s">
        <v>28</v>
      </c>
      <c r="C1186" t="s">
        <v>22</v>
      </c>
      <c r="D1186" t="s">
        <v>18</v>
      </c>
      <c r="E1186" s="17">
        <v>14876.53</v>
      </c>
      <c r="F1186" s="17">
        <v>6527.6</v>
      </c>
      <c r="G1186" s="17">
        <v>6527.6</v>
      </c>
    </row>
    <row r="1187" spans="1:7" x14ac:dyDescent="0.3">
      <c r="A1187" t="s">
        <v>42</v>
      </c>
      <c r="B1187" t="s">
        <v>28</v>
      </c>
      <c r="C1187" t="s">
        <v>22</v>
      </c>
      <c r="D1187" t="s">
        <v>19</v>
      </c>
      <c r="E1187" s="17">
        <v>7332.68</v>
      </c>
      <c r="F1187" s="17">
        <v>2121.8000000000002</v>
      </c>
      <c r="G1187" s="17">
        <v>2121.8000000000002</v>
      </c>
    </row>
    <row r="1188" spans="1:7" x14ac:dyDescent="0.3">
      <c r="A1188" t="s">
        <v>42</v>
      </c>
      <c r="B1188" t="s">
        <v>28</v>
      </c>
      <c r="C1188" t="s">
        <v>22</v>
      </c>
      <c r="D1188" t="s">
        <v>20</v>
      </c>
      <c r="E1188" s="17">
        <v>6242.39</v>
      </c>
      <c r="F1188" s="17">
        <v>2203.12</v>
      </c>
      <c r="G1188" s="17">
        <v>2203.12</v>
      </c>
    </row>
    <row r="1189" spans="1:7" x14ac:dyDescent="0.3">
      <c r="A1189" t="s">
        <v>42</v>
      </c>
      <c r="B1189" t="s">
        <v>28</v>
      </c>
      <c r="C1189" t="s">
        <v>22</v>
      </c>
      <c r="D1189" t="s">
        <v>21</v>
      </c>
      <c r="E1189" s="17">
        <v>11939.09</v>
      </c>
      <c r="F1189" s="17">
        <v>2243.139999999999</v>
      </c>
      <c r="G1189" s="17">
        <v>2243.14</v>
      </c>
    </row>
    <row r="1190" spans="1:7" x14ac:dyDescent="0.3">
      <c r="A1190" t="s">
        <v>42</v>
      </c>
      <c r="B1190" t="s">
        <v>28</v>
      </c>
      <c r="C1190" t="s">
        <v>23</v>
      </c>
      <c r="D1190" t="s">
        <v>18</v>
      </c>
      <c r="E1190" s="17">
        <v>16124.46</v>
      </c>
      <c r="F1190" s="17">
        <v>3761.48</v>
      </c>
      <c r="G1190" s="17">
        <v>3761.48</v>
      </c>
    </row>
    <row r="1191" spans="1:7" x14ac:dyDescent="0.3">
      <c r="A1191" t="s">
        <v>42</v>
      </c>
      <c r="B1191" t="s">
        <v>28</v>
      </c>
      <c r="C1191" t="s">
        <v>23</v>
      </c>
      <c r="D1191" t="s">
        <v>19</v>
      </c>
      <c r="E1191" s="17">
        <v>15620.67</v>
      </c>
      <c r="F1191" s="17">
        <v>4451.67</v>
      </c>
      <c r="G1191" s="17">
        <v>4451.67</v>
      </c>
    </row>
    <row r="1192" spans="1:7" x14ac:dyDescent="0.3">
      <c r="A1192" t="s">
        <v>42</v>
      </c>
      <c r="B1192" t="s">
        <v>28</v>
      </c>
      <c r="C1192" t="s">
        <v>23</v>
      </c>
      <c r="D1192" t="s">
        <v>20</v>
      </c>
      <c r="E1192" s="17">
        <v>18208.919999999998</v>
      </c>
      <c r="F1192" s="17">
        <v>4289.33</v>
      </c>
      <c r="G1192" s="17">
        <v>4289.33</v>
      </c>
    </row>
    <row r="1193" spans="1:7" x14ac:dyDescent="0.3">
      <c r="A1193" t="s">
        <v>42</v>
      </c>
      <c r="B1193" t="s">
        <v>28</v>
      </c>
      <c r="C1193" t="s">
        <v>23</v>
      </c>
      <c r="D1193" t="s">
        <v>21</v>
      </c>
      <c r="E1193" s="17">
        <v>19303.490000000002</v>
      </c>
      <c r="F1193" s="17">
        <v>7689.68</v>
      </c>
      <c r="G1193" s="17">
        <v>7689.68</v>
      </c>
    </row>
    <row r="1194" spans="1:7" x14ac:dyDescent="0.3">
      <c r="A1194" t="s">
        <v>42</v>
      </c>
      <c r="B1194" t="s">
        <v>28</v>
      </c>
      <c r="C1194" t="s">
        <v>24</v>
      </c>
      <c r="D1194" t="s">
        <v>18</v>
      </c>
      <c r="E1194" s="17">
        <v>3438.97</v>
      </c>
      <c r="F1194" s="17">
        <v>713.49000000000024</v>
      </c>
      <c r="G1194" s="17">
        <v>713.49</v>
      </c>
    </row>
    <row r="1195" spans="1:7" x14ac:dyDescent="0.3">
      <c r="A1195" t="s">
        <v>42</v>
      </c>
      <c r="B1195" t="s">
        <v>28</v>
      </c>
      <c r="C1195" t="s">
        <v>24</v>
      </c>
      <c r="D1195" t="s">
        <v>19</v>
      </c>
      <c r="E1195" s="17">
        <v>22055.52</v>
      </c>
      <c r="F1195" s="17">
        <v>5083.34</v>
      </c>
      <c r="G1195" s="17">
        <v>5083.34</v>
      </c>
    </row>
    <row r="1196" spans="1:7" x14ac:dyDescent="0.3">
      <c r="A1196" t="s">
        <v>42</v>
      </c>
      <c r="B1196" t="s">
        <v>28</v>
      </c>
      <c r="C1196" t="s">
        <v>24</v>
      </c>
      <c r="D1196" t="s">
        <v>20</v>
      </c>
      <c r="E1196" s="17">
        <v>9497.65</v>
      </c>
      <c r="F1196" s="17">
        <v>2882.9</v>
      </c>
      <c r="G1196" s="17">
        <v>2882.9</v>
      </c>
    </row>
    <row r="1197" spans="1:7" x14ac:dyDescent="0.3">
      <c r="A1197" t="s">
        <v>42</v>
      </c>
      <c r="B1197" t="s">
        <v>28</v>
      </c>
      <c r="C1197" t="s">
        <v>24</v>
      </c>
      <c r="D1197" t="s">
        <v>21</v>
      </c>
      <c r="E1197" s="17">
        <v>8034.13</v>
      </c>
      <c r="F1197" s="17">
        <v>3317.39</v>
      </c>
      <c r="G1197" s="17">
        <v>3317.39</v>
      </c>
    </row>
    <row r="1198" spans="1:7" x14ac:dyDescent="0.3">
      <c r="A1198" t="s">
        <v>42</v>
      </c>
      <c r="B1198" t="s">
        <v>28</v>
      </c>
      <c r="C1198" t="s">
        <v>25</v>
      </c>
      <c r="D1198" t="s">
        <v>18</v>
      </c>
      <c r="E1198" s="17">
        <v>14137.45</v>
      </c>
      <c r="F1198" s="17">
        <v>4984.2900000000009</v>
      </c>
      <c r="G1198" s="17">
        <v>4984.29</v>
      </c>
    </row>
    <row r="1199" spans="1:7" x14ac:dyDescent="0.3">
      <c r="A1199" t="s">
        <v>42</v>
      </c>
      <c r="B1199" t="s">
        <v>28</v>
      </c>
      <c r="C1199" t="s">
        <v>25</v>
      </c>
      <c r="D1199" t="s">
        <v>19</v>
      </c>
      <c r="E1199" s="17">
        <v>15730.33</v>
      </c>
      <c r="F1199" s="17">
        <v>5427.8000000000011</v>
      </c>
      <c r="G1199" s="17">
        <v>5427.8</v>
      </c>
    </row>
    <row r="1200" spans="1:7" x14ac:dyDescent="0.3">
      <c r="A1200" t="s">
        <v>42</v>
      </c>
      <c r="B1200" t="s">
        <v>28</v>
      </c>
      <c r="C1200" t="s">
        <v>25</v>
      </c>
      <c r="D1200" t="s">
        <v>20</v>
      </c>
      <c r="E1200" s="17">
        <v>15501.11</v>
      </c>
      <c r="F1200" s="17">
        <v>4246.369999999999</v>
      </c>
      <c r="G1200" s="17">
        <v>4246.37</v>
      </c>
    </row>
    <row r="1201" spans="1:7" x14ac:dyDescent="0.3">
      <c r="A1201" t="s">
        <v>42</v>
      </c>
      <c r="B1201" t="s">
        <v>28</v>
      </c>
      <c r="C1201" t="s">
        <v>25</v>
      </c>
      <c r="D1201" t="s">
        <v>21</v>
      </c>
      <c r="E1201" s="17">
        <v>21446.91</v>
      </c>
      <c r="F1201" s="17">
        <v>7435.380000000001</v>
      </c>
      <c r="G1201" s="17">
        <v>7435.38</v>
      </c>
    </row>
    <row r="1202" spans="1:7" x14ac:dyDescent="0.3">
      <c r="A1202" t="s">
        <v>43</v>
      </c>
      <c r="B1202" t="s">
        <v>16</v>
      </c>
      <c r="C1202" t="s">
        <v>17</v>
      </c>
      <c r="D1202" t="s">
        <v>18</v>
      </c>
      <c r="E1202" s="17">
        <v>20715.98</v>
      </c>
      <c r="F1202" s="17">
        <v>7677.6899999999987</v>
      </c>
      <c r="G1202" s="17">
        <v>7677.69</v>
      </c>
    </row>
    <row r="1203" spans="1:7" x14ac:dyDescent="0.3">
      <c r="A1203" t="s">
        <v>43</v>
      </c>
      <c r="B1203" t="s">
        <v>16</v>
      </c>
      <c r="C1203" t="s">
        <v>17</v>
      </c>
      <c r="D1203" t="s">
        <v>19</v>
      </c>
      <c r="E1203" s="17">
        <v>8841.23</v>
      </c>
      <c r="F1203" s="17">
        <v>3058.2800000000011</v>
      </c>
      <c r="G1203" s="17">
        <v>3058.28</v>
      </c>
    </row>
    <row r="1204" spans="1:7" x14ac:dyDescent="0.3">
      <c r="A1204" t="s">
        <v>43</v>
      </c>
      <c r="B1204" t="s">
        <v>16</v>
      </c>
      <c r="C1204" t="s">
        <v>17</v>
      </c>
      <c r="D1204" t="s">
        <v>20</v>
      </c>
      <c r="E1204" s="17">
        <v>3949.3</v>
      </c>
      <c r="F1204" s="17">
        <v>853.69999999999982</v>
      </c>
      <c r="G1204" s="17">
        <v>853.7</v>
      </c>
    </row>
    <row r="1205" spans="1:7" x14ac:dyDescent="0.3">
      <c r="A1205" t="s">
        <v>43</v>
      </c>
      <c r="B1205" t="s">
        <v>16</v>
      </c>
      <c r="C1205" t="s">
        <v>17</v>
      </c>
      <c r="D1205" t="s">
        <v>21</v>
      </c>
      <c r="E1205" s="17">
        <v>4710.82</v>
      </c>
      <c r="F1205" s="17">
        <v>1236.3699999999999</v>
      </c>
      <c r="G1205" s="17">
        <v>1236.3699999999999</v>
      </c>
    </row>
    <row r="1206" spans="1:7" x14ac:dyDescent="0.3">
      <c r="A1206" t="s">
        <v>43</v>
      </c>
      <c r="B1206" t="s">
        <v>16</v>
      </c>
      <c r="C1206" t="s">
        <v>22</v>
      </c>
      <c r="D1206" t="s">
        <v>18</v>
      </c>
      <c r="E1206" s="17">
        <v>6210.02</v>
      </c>
      <c r="F1206" s="17">
        <v>2280.4899999999998</v>
      </c>
      <c r="G1206" s="17">
        <v>2280.4899999999998</v>
      </c>
    </row>
    <row r="1207" spans="1:7" x14ac:dyDescent="0.3">
      <c r="A1207" t="s">
        <v>43</v>
      </c>
      <c r="B1207" t="s">
        <v>16</v>
      </c>
      <c r="C1207" t="s">
        <v>22</v>
      </c>
      <c r="D1207" t="s">
        <v>19</v>
      </c>
      <c r="E1207" s="17">
        <v>13748.97</v>
      </c>
      <c r="F1207" s="17">
        <v>4027.41</v>
      </c>
      <c r="G1207" s="17">
        <v>4027.41</v>
      </c>
    </row>
    <row r="1208" spans="1:7" x14ac:dyDescent="0.3">
      <c r="A1208" t="s">
        <v>43</v>
      </c>
      <c r="B1208" t="s">
        <v>16</v>
      </c>
      <c r="C1208" t="s">
        <v>22</v>
      </c>
      <c r="D1208" t="s">
        <v>20</v>
      </c>
      <c r="E1208" s="17">
        <v>5170.95</v>
      </c>
      <c r="F1208" s="17">
        <v>1466.49</v>
      </c>
      <c r="G1208" s="17">
        <v>1466.49</v>
      </c>
    </row>
    <row r="1209" spans="1:7" x14ac:dyDescent="0.3">
      <c r="A1209" t="s">
        <v>43</v>
      </c>
      <c r="B1209" t="s">
        <v>16</v>
      </c>
      <c r="C1209" t="s">
        <v>22</v>
      </c>
      <c r="D1209" t="s">
        <v>21</v>
      </c>
      <c r="E1209" s="17">
        <v>6272.34</v>
      </c>
      <c r="F1209" s="17">
        <v>2205.2600000000002</v>
      </c>
      <c r="G1209" s="17">
        <v>2205.2600000000002</v>
      </c>
    </row>
    <row r="1210" spans="1:7" x14ac:dyDescent="0.3">
      <c r="A1210" t="s">
        <v>43</v>
      </c>
      <c r="B1210" t="s">
        <v>16</v>
      </c>
      <c r="C1210" t="s">
        <v>23</v>
      </c>
      <c r="D1210" t="s">
        <v>18</v>
      </c>
      <c r="E1210" s="17">
        <v>17948.96</v>
      </c>
      <c r="F1210" s="17">
        <v>6357.880000000001</v>
      </c>
      <c r="G1210" s="17">
        <v>6357.88</v>
      </c>
    </row>
    <row r="1211" spans="1:7" x14ac:dyDescent="0.3">
      <c r="A1211" t="s">
        <v>43</v>
      </c>
      <c r="B1211" t="s">
        <v>16</v>
      </c>
      <c r="C1211" t="s">
        <v>23</v>
      </c>
      <c r="D1211" t="s">
        <v>19</v>
      </c>
      <c r="E1211" s="17">
        <v>24997.69</v>
      </c>
      <c r="F1211" s="17">
        <v>8244.8999999999978</v>
      </c>
      <c r="G1211" s="17">
        <v>8244.9</v>
      </c>
    </row>
    <row r="1212" spans="1:7" x14ac:dyDescent="0.3">
      <c r="A1212" t="s">
        <v>43</v>
      </c>
      <c r="B1212" t="s">
        <v>16</v>
      </c>
      <c r="C1212" t="s">
        <v>23</v>
      </c>
      <c r="D1212" t="s">
        <v>20</v>
      </c>
      <c r="E1212" s="17">
        <v>13261.77</v>
      </c>
      <c r="F1212" s="17">
        <v>2889.48</v>
      </c>
      <c r="G1212" s="17">
        <v>2889.48</v>
      </c>
    </row>
    <row r="1213" spans="1:7" x14ac:dyDescent="0.3">
      <c r="A1213" t="s">
        <v>43</v>
      </c>
      <c r="B1213" t="s">
        <v>16</v>
      </c>
      <c r="C1213" t="s">
        <v>23</v>
      </c>
      <c r="D1213" t="s">
        <v>21</v>
      </c>
      <c r="E1213" s="17">
        <v>9235.34</v>
      </c>
      <c r="F1213" s="17">
        <v>2786.95</v>
      </c>
      <c r="G1213" s="17">
        <v>2786.95</v>
      </c>
    </row>
    <row r="1214" spans="1:7" x14ac:dyDescent="0.3">
      <c r="A1214" t="s">
        <v>43</v>
      </c>
      <c r="B1214" t="s">
        <v>16</v>
      </c>
      <c r="C1214" t="s">
        <v>24</v>
      </c>
      <c r="D1214" t="s">
        <v>18</v>
      </c>
      <c r="E1214" s="17">
        <v>3233.06</v>
      </c>
      <c r="F1214" s="17">
        <v>895.36999999999989</v>
      </c>
      <c r="G1214" s="17">
        <v>895.37</v>
      </c>
    </row>
    <row r="1215" spans="1:7" x14ac:dyDescent="0.3">
      <c r="A1215" t="s">
        <v>43</v>
      </c>
      <c r="B1215" t="s">
        <v>16</v>
      </c>
      <c r="C1215" t="s">
        <v>24</v>
      </c>
      <c r="D1215" t="s">
        <v>19</v>
      </c>
      <c r="E1215" s="17">
        <v>2220.42</v>
      </c>
      <c r="F1215" s="17">
        <v>481.53</v>
      </c>
      <c r="G1215" s="17">
        <v>481.53</v>
      </c>
    </row>
    <row r="1216" spans="1:7" x14ac:dyDescent="0.3">
      <c r="A1216" t="s">
        <v>43</v>
      </c>
      <c r="B1216" t="s">
        <v>16</v>
      </c>
      <c r="C1216" t="s">
        <v>24</v>
      </c>
      <c r="D1216" t="s">
        <v>20</v>
      </c>
      <c r="E1216" s="17">
        <v>20749.97</v>
      </c>
      <c r="F1216" s="17">
        <v>9134.84</v>
      </c>
      <c r="G1216" s="17">
        <v>9134.84</v>
      </c>
    </row>
    <row r="1217" spans="1:7" x14ac:dyDescent="0.3">
      <c r="A1217" t="s">
        <v>43</v>
      </c>
      <c r="B1217" t="s">
        <v>16</v>
      </c>
      <c r="C1217" t="s">
        <v>24</v>
      </c>
      <c r="D1217" t="s">
        <v>21</v>
      </c>
      <c r="E1217" s="17">
        <v>13625.07</v>
      </c>
      <c r="F1217" s="17">
        <v>4273.3899999999994</v>
      </c>
      <c r="G1217" s="17">
        <v>4273.3900000000003</v>
      </c>
    </row>
    <row r="1218" spans="1:7" x14ac:dyDescent="0.3">
      <c r="A1218" t="s">
        <v>43</v>
      </c>
      <c r="B1218" t="s">
        <v>16</v>
      </c>
      <c r="C1218" t="s">
        <v>25</v>
      </c>
      <c r="D1218" t="s">
        <v>18</v>
      </c>
      <c r="E1218" s="17">
        <v>17748.02</v>
      </c>
      <c r="F1218" s="17">
        <v>5186.33</v>
      </c>
      <c r="G1218" s="17">
        <v>5186.33</v>
      </c>
    </row>
    <row r="1219" spans="1:7" x14ac:dyDescent="0.3">
      <c r="A1219" t="s">
        <v>43</v>
      </c>
      <c r="B1219" t="s">
        <v>16</v>
      </c>
      <c r="C1219" t="s">
        <v>25</v>
      </c>
      <c r="D1219" t="s">
        <v>19</v>
      </c>
      <c r="E1219" s="17">
        <v>21317.51</v>
      </c>
      <c r="F1219" s="17">
        <v>6649.9700000000012</v>
      </c>
      <c r="G1219" s="17">
        <v>6649.97</v>
      </c>
    </row>
    <row r="1220" spans="1:7" x14ac:dyDescent="0.3">
      <c r="A1220" t="s">
        <v>43</v>
      </c>
      <c r="B1220" t="s">
        <v>16</v>
      </c>
      <c r="C1220" t="s">
        <v>25</v>
      </c>
      <c r="D1220" t="s">
        <v>20</v>
      </c>
      <c r="E1220" s="17">
        <v>3901.42</v>
      </c>
      <c r="F1220" s="17">
        <v>734.76000000000022</v>
      </c>
      <c r="G1220" s="17">
        <v>734.76</v>
      </c>
    </row>
    <row r="1221" spans="1:7" x14ac:dyDescent="0.3">
      <c r="A1221" t="s">
        <v>43</v>
      </c>
      <c r="B1221" t="s">
        <v>16</v>
      </c>
      <c r="C1221" t="s">
        <v>25</v>
      </c>
      <c r="D1221" t="s">
        <v>21</v>
      </c>
      <c r="E1221" s="17">
        <v>19504.3</v>
      </c>
      <c r="F1221" s="17">
        <v>5048.9700000000012</v>
      </c>
      <c r="G1221" s="17">
        <v>5048.97</v>
      </c>
    </row>
    <row r="1222" spans="1:7" x14ac:dyDescent="0.3">
      <c r="A1222" t="s">
        <v>43</v>
      </c>
      <c r="B1222" t="s">
        <v>26</v>
      </c>
      <c r="C1222" t="s">
        <v>17</v>
      </c>
      <c r="D1222" t="s">
        <v>18</v>
      </c>
      <c r="E1222" s="17">
        <v>8321.6200000000008</v>
      </c>
      <c r="F1222" s="17">
        <v>2705.809999999999</v>
      </c>
      <c r="G1222" s="17">
        <v>2705.81</v>
      </c>
    </row>
    <row r="1223" spans="1:7" x14ac:dyDescent="0.3">
      <c r="A1223" t="s">
        <v>43</v>
      </c>
      <c r="B1223" t="s">
        <v>26</v>
      </c>
      <c r="C1223" t="s">
        <v>17</v>
      </c>
      <c r="D1223" t="s">
        <v>19</v>
      </c>
      <c r="E1223" s="17">
        <v>5868.81</v>
      </c>
      <c r="F1223" s="17">
        <v>1781.05</v>
      </c>
      <c r="G1223" s="17">
        <v>1781.05</v>
      </c>
    </row>
    <row r="1224" spans="1:7" x14ac:dyDescent="0.3">
      <c r="A1224" t="s">
        <v>43</v>
      </c>
      <c r="B1224" t="s">
        <v>26</v>
      </c>
      <c r="C1224" t="s">
        <v>17</v>
      </c>
      <c r="D1224" t="s">
        <v>20</v>
      </c>
      <c r="E1224" s="17">
        <v>19077.919999999998</v>
      </c>
      <c r="F1224" s="17">
        <v>7379.3100000000013</v>
      </c>
      <c r="G1224" s="17">
        <v>7379.31</v>
      </c>
    </row>
    <row r="1225" spans="1:7" x14ac:dyDescent="0.3">
      <c r="A1225" t="s">
        <v>43</v>
      </c>
      <c r="B1225" t="s">
        <v>26</v>
      </c>
      <c r="C1225" t="s">
        <v>17</v>
      </c>
      <c r="D1225" t="s">
        <v>21</v>
      </c>
      <c r="E1225" s="17">
        <v>14643.7</v>
      </c>
      <c r="F1225" s="17">
        <v>3083.48</v>
      </c>
      <c r="G1225" s="17">
        <v>3083.48</v>
      </c>
    </row>
    <row r="1226" spans="1:7" x14ac:dyDescent="0.3">
      <c r="A1226" t="s">
        <v>43</v>
      </c>
      <c r="B1226" t="s">
        <v>26</v>
      </c>
      <c r="C1226" t="s">
        <v>22</v>
      </c>
      <c r="D1226" t="s">
        <v>18</v>
      </c>
      <c r="E1226" s="17">
        <v>4626.75</v>
      </c>
      <c r="F1226" s="17">
        <v>1801.1</v>
      </c>
      <c r="G1226" s="17">
        <v>1801.1</v>
      </c>
    </row>
    <row r="1227" spans="1:7" x14ac:dyDescent="0.3">
      <c r="A1227" t="s">
        <v>43</v>
      </c>
      <c r="B1227" t="s">
        <v>26</v>
      </c>
      <c r="C1227" t="s">
        <v>22</v>
      </c>
      <c r="D1227" t="s">
        <v>19</v>
      </c>
      <c r="E1227" s="17">
        <v>20935.5</v>
      </c>
      <c r="F1227" s="17">
        <v>5842.1100000000006</v>
      </c>
      <c r="G1227" s="17">
        <v>5842.11</v>
      </c>
    </row>
    <row r="1228" spans="1:7" x14ac:dyDescent="0.3">
      <c r="A1228" t="s">
        <v>43</v>
      </c>
      <c r="B1228" t="s">
        <v>26</v>
      </c>
      <c r="C1228" t="s">
        <v>22</v>
      </c>
      <c r="D1228" t="s">
        <v>20</v>
      </c>
      <c r="E1228" s="17">
        <v>20920.05</v>
      </c>
      <c r="F1228" s="17">
        <v>4000.639999999999</v>
      </c>
      <c r="G1228" s="17">
        <v>4000.64</v>
      </c>
    </row>
    <row r="1229" spans="1:7" x14ac:dyDescent="0.3">
      <c r="A1229" t="s">
        <v>43</v>
      </c>
      <c r="B1229" t="s">
        <v>26</v>
      </c>
      <c r="C1229" t="s">
        <v>22</v>
      </c>
      <c r="D1229" t="s">
        <v>21</v>
      </c>
      <c r="E1229" s="17">
        <v>18536.55</v>
      </c>
      <c r="F1229" s="17">
        <v>6071.01</v>
      </c>
      <c r="G1229" s="17">
        <v>6071.01</v>
      </c>
    </row>
    <row r="1230" spans="1:7" x14ac:dyDescent="0.3">
      <c r="A1230" t="s">
        <v>43</v>
      </c>
      <c r="B1230" t="s">
        <v>26</v>
      </c>
      <c r="C1230" t="s">
        <v>23</v>
      </c>
      <c r="D1230" t="s">
        <v>18</v>
      </c>
      <c r="E1230" s="17">
        <v>24764.84</v>
      </c>
      <c r="F1230" s="17">
        <v>5142.4799999999996</v>
      </c>
      <c r="G1230" s="17">
        <v>5142.4799999999996</v>
      </c>
    </row>
    <row r="1231" spans="1:7" x14ac:dyDescent="0.3">
      <c r="A1231" t="s">
        <v>43</v>
      </c>
      <c r="B1231" t="s">
        <v>26</v>
      </c>
      <c r="C1231" t="s">
        <v>23</v>
      </c>
      <c r="D1231" t="s">
        <v>19</v>
      </c>
      <c r="E1231" s="17">
        <v>21091.63</v>
      </c>
      <c r="F1231" s="17">
        <v>8075.2099999999991</v>
      </c>
      <c r="G1231" s="17">
        <v>8075.21</v>
      </c>
    </row>
    <row r="1232" spans="1:7" x14ac:dyDescent="0.3">
      <c r="A1232" t="s">
        <v>43</v>
      </c>
      <c r="B1232" t="s">
        <v>26</v>
      </c>
      <c r="C1232" t="s">
        <v>23</v>
      </c>
      <c r="D1232" t="s">
        <v>20</v>
      </c>
      <c r="E1232" s="17">
        <v>8847.31</v>
      </c>
      <c r="F1232" s="17">
        <v>3979.65</v>
      </c>
      <c r="G1232" s="17">
        <v>3979.65</v>
      </c>
    </row>
    <row r="1233" spans="1:7" x14ac:dyDescent="0.3">
      <c r="A1233" t="s">
        <v>43</v>
      </c>
      <c r="B1233" t="s">
        <v>26</v>
      </c>
      <c r="C1233" t="s">
        <v>23</v>
      </c>
      <c r="D1233" t="s">
        <v>21</v>
      </c>
      <c r="E1233" s="17">
        <v>12343.84</v>
      </c>
      <c r="F1233" s="17">
        <v>3383.639999999999</v>
      </c>
      <c r="G1233" s="17">
        <v>3383.64</v>
      </c>
    </row>
    <row r="1234" spans="1:7" x14ac:dyDescent="0.3">
      <c r="A1234" t="s">
        <v>43</v>
      </c>
      <c r="B1234" t="s">
        <v>26</v>
      </c>
      <c r="C1234" t="s">
        <v>24</v>
      </c>
      <c r="D1234" t="s">
        <v>18</v>
      </c>
      <c r="E1234" s="17">
        <v>20784.759999999998</v>
      </c>
      <c r="F1234" s="17">
        <v>6205.27</v>
      </c>
      <c r="G1234" s="17">
        <v>6205.27</v>
      </c>
    </row>
    <row r="1235" spans="1:7" x14ac:dyDescent="0.3">
      <c r="A1235" t="s">
        <v>43</v>
      </c>
      <c r="B1235" t="s">
        <v>26</v>
      </c>
      <c r="C1235" t="s">
        <v>24</v>
      </c>
      <c r="D1235" t="s">
        <v>19</v>
      </c>
      <c r="E1235" s="17">
        <v>24861.03</v>
      </c>
      <c r="F1235" s="17">
        <v>9681.4</v>
      </c>
      <c r="G1235" s="17">
        <v>9681.4</v>
      </c>
    </row>
    <row r="1236" spans="1:7" x14ac:dyDescent="0.3">
      <c r="A1236" t="s">
        <v>43</v>
      </c>
      <c r="B1236" t="s">
        <v>26</v>
      </c>
      <c r="C1236" t="s">
        <v>24</v>
      </c>
      <c r="D1236" t="s">
        <v>20</v>
      </c>
      <c r="E1236" s="17">
        <v>7449.76</v>
      </c>
      <c r="F1236" s="17">
        <v>2971.63</v>
      </c>
      <c r="G1236" s="17">
        <v>2971.63</v>
      </c>
    </row>
    <row r="1237" spans="1:7" x14ac:dyDescent="0.3">
      <c r="A1237" t="s">
        <v>43</v>
      </c>
      <c r="B1237" t="s">
        <v>26</v>
      </c>
      <c r="C1237" t="s">
        <v>24</v>
      </c>
      <c r="D1237" t="s">
        <v>21</v>
      </c>
      <c r="E1237" s="17">
        <v>15522.25</v>
      </c>
      <c r="F1237" s="17">
        <v>4263.5</v>
      </c>
      <c r="G1237" s="17">
        <v>4263.5</v>
      </c>
    </row>
    <row r="1238" spans="1:7" x14ac:dyDescent="0.3">
      <c r="A1238" t="s">
        <v>43</v>
      </c>
      <c r="B1238" t="s">
        <v>26</v>
      </c>
      <c r="C1238" t="s">
        <v>25</v>
      </c>
      <c r="D1238" t="s">
        <v>18</v>
      </c>
      <c r="E1238" s="17">
        <v>18347.34</v>
      </c>
      <c r="F1238" s="17">
        <v>6437.130000000001</v>
      </c>
      <c r="G1238" s="17">
        <v>6437.13</v>
      </c>
    </row>
    <row r="1239" spans="1:7" x14ac:dyDescent="0.3">
      <c r="A1239" t="s">
        <v>43</v>
      </c>
      <c r="B1239" t="s">
        <v>26</v>
      </c>
      <c r="C1239" t="s">
        <v>25</v>
      </c>
      <c r="D1239" t="s">
        <v>19</v>
      </c>
      <c r="E1239" s="17">
        <v>5817.58</v>
      </c>
      <c r="F1239" s="17">
        <v>1265.8699999999999</v>
      </c>
      <c r="G1239" s="17">
        <v>1265.8699999999999</v>
      </c>
    </row>
    <row r="1240" spans="1:7" x14ac:dyDescent="0.3">
      <c r="A1240" t="s">
        <v>43</v>
      </c>
      <c r="B1240" t="s">
        <v>26</v>
      </c>
      <c r="C1240" t="s">
        <v>25</v>
      </c>
      <c r="D1240" t="s">
        <v>20</v>
      </c>
      <c r="E1240" s="17">
        <v>6752.25</v>
      </c>
      <c r="F1240" s="17">
        <v>1592.68</v>
      </c>
      <c r="G1240" s="17">
        <v>1592.68</v>
      </c>
    </row>
    <row r="1241" spans="1:7" x14ac:dyDescent="0.3">
      <c r="A1241" t="s">
        <v>43</v>
      </c>
      <c r="B1241" t="s">
        <v>26</v>
      </c>
      <c r="C1241" t="s">
        <v>25</v>
      </c>
      <c r="D1241" t="s">
        <v>21</v>
      </c>
      <c r="E1241" s="17">
        <v>3365.23</v>
      </c>
      <c r="F1241" s="17">
        <v>924.5</v>
      </c>
      <c r="G1241" s="17">
        <v>924.5</v>
      </c>
    </row>
    <row r="1242" spans="1:7" x14ac:dyDescent="0.3">
      <c r="A1242" t="s">
        <v>43</v>
      </c>
      <c r="B1242" t="s">
        <v>27</v>
      </c>
      <c r="C1242" t="s">
        <v>17</v>
      </c>
      <c r="D1242" t="s">
        <v>18</v>
      </c>
      <c r="E1242" s="17">
        <v>8464.9599999999991</v>
      </c>
      <c r="F1242" s="17">
        <v>2755.07</v>
      </c>
      <c r="G1242" s="17">
        <v>2755.07</v>
      </c>
    </row>
    <row r="1243" spans="1:7" x14ac:dyDescent="0.3">
      <c r="A1243" t="s">
        <v>43</v>
      </c>
      <c r="B1243" t="s">
        <v>27</v>
      </c>
      <c r="C1243" t="s">
        <v>17</v>
      </c>
      <c r="D1243" t="s">
        <v>19</v>
      </c>
      <c r="E1243" s="17">
        <v>9444.0300000000007</v>
      </c>
      <c r="F1243" s="17">
        <v>3495.18</v>
      </c>
      <c r="G1243" s="17">
        <v>3495.18</v>
      </c>
    </row>
    <row r="1244" spans="1:7" x14ac:dyDescent="0.3">
      <c r="A1244" t="s">
        <v>43</v>
      </c>
      <c r="B1244" t="s">
        <v>27</v>
      </c>
      <c r="C1244" t="s">
        <v>17</v>
      </c>
      <c r="D1244" t="s">
        <v>20</v>
      </c>
      <c r="E1244" s="17">
        <v>8654.66</v>
      </c>
      <c r="F1244" s="17">
        <v>2182.5500000000002</v>
      </c>
      <c r="G1244" s="17">
        <v>2182.5500000000002</v>
      </c>
    </row>
    <row r="1245" spans="1:7" x14ac:dyDescent="0.3">
      <c r="A1245" t="s">
        <v>43</v>
      </c>
      <c r="B1245" t="s">
        <v>27</v>
      </c>
      <c r="C1245" t="s">
        <v>17</v>
      </c>
      <c r="D1245" t="s">
        <v>21</v>
      </c>
      <c r="E1245" s="17">
        <v>21734.39</v>
      </c>
      <c r="F1245" s="17">
        <v>9695.32</v>
      </c>
      <c r="G1245" s="17">
        <v>9695.32</v>
      </c>
    </row>
    <row r="1246" spans="1:7" x14ac:dyDescent="0.3">
      <c r="A1246" t="s">
        <v>43</v>
      </c>
      <c r="B1246" t="s">
        <v>27</v>
      </c>
      <c r="C1246" t="s">
        <v>22</v>
      </c>
      <c r="D1246" t="s">
        <v>18</v>
      </c>
      <c r="E1246" s="17">
        <v>17623.88</v>
      </c>
      <c r="F1246" s="17">
        <v>3625.42</v>
      </c>
      <c r="G1246" s="17">
        <v>3625.42</v>
      </c>
    </row>
    <row r="1247" spans="1:7" x14ac:dyDescent="0.3">
      <c r="A1247" t="s">
        <v>43</v>
      </c>
      <c r="B1247" t="s">
        <v>27</v>
      </c>
      <c r="C1247" t="s">
        <v>22</v>
      </c>
      <c r="D1247" t="s">
        <v>19</v>
      </c>
      <c r="E1247" s="17">
        <v>24143.759999999998</v>
      </c>
      <c r="F1247" s="17">
        <v>9467.65</v>
      </c>
      <c r="G1247" s="17">
        <v>9467.65</v>
      </c>
    </row>
    <row r="1248" spans="1:7" x14ac:dyDescent="0.3">
      <c r="A1248" t="s">
        <v>43</v>
      </c>
      <c r="B1248" t="s">
        <v>27</v>
      </c>
      <c r="C1248" t="s">
        <v>22</v>
      </c>
      <c r="D1248" t="s">
        <v>20</v>
      </c>
      <c r="E1248" s="17">
        <v>23131.68</v>
      </c>
      <c r="F1248" s="17">
        <v>10362.33</v>
      </c>
      <c r="G1248" s="17">
        <v>10362.33</v>
      </c>
    </row>
    <row r="1249" spans="1:7" x14ac:dyDescent="0.3">
      <c r="A1249" t="s">
        <v>43</v>
      </c>
      <c r="B1249" t="s">
        <v>27</v>
      </c>
      <c r="C1249" t="s">
        <v>22</v>
      </c>
      <c r="D1249" t="s">
        <v>21</v>
      </c>
      <c r="E1249" s="17">
        <v>21942.09</v>
      </c>
      <c r="F1249" s="17">
        <v>4701.3100000000013</v>
      </c>
      <c r="G1249" s="17">
        <v>4701.3100000000004</v>
      </c>
    </row>
    <row r="1250" spans="1:7" x14ac:dyDescent="0.3">
      <c r="A1250" t="s">
        <v>43</v>
      </c>
      <c r="B1250" t="s">
        <v>27</v>
      </c>
      <c r="C1250" t="s">
        <v>23</v>
      </c>
      <c r="D1250" t="s">
        <v>18</v>
      </c>
      <c r="E1250" s="17">
        <v>21919.81</v>
      </c>
      <c r="F1250" s="17">
        <v>5423.2400000000016</v>
      </c>
      <c r="G1250" s="17">
        <v>5423.24</v>
      </c>
    </row>
    <row r="1251" spans="1:7" x14ac:dyDescent="0.3">
      <c r="A1251" t="s">
        <v>43</v>
      </c>
      <c r="B1251" t="s">
        <v>27</v>
      </c>
      <c r="C1251" t="s">
        <v>23</v>
      </c>
      <c r="D1251" t="s">
        <v>19</v>
      </c>
      <c r="E1251" s="17">
        <v>18362.080000000002</v>
      </c>
      <c r="F1251" s="17">
        <v>7412.59</v>
      </c>
      <c r="G1251" s="17">
        <v>7412.59</v>
      </c>
    </row>
    <row r="1252" spans="1:7" x14ac:dyDescent="0.3">
      <c r="A1252" t="s">
        <v>43</v>
      </c>
      <c r="B1252" t="s">
        <v>27</v>
      </c>
      <c r="C1252" t="s">
        <v>23</v>
      </c>
      <c r="D1252" t="s">
        <v>20</v>
      </c>
      <c r="E1252" s="17">
        <v>19513.89</v>
      </c>
      <c r="F1252" s="17">
        <v>7075.41</v>
      </c>
      <c r="G1252" s="17">
        <v>7075.41</v>
      </c>
    </row>
    <row r="1253" spans="1:7" x14ac:dyDescent="0.3">
      <c r="A1253" t="s">
        <v>43</v>
      </c>
      <c r="B1253" t="s">
        <v>27</v>
      </c>
      <c r="C1253" t="s">
        <v>23</v>
      </c>
      <c r="D1253" t="s">
        <v>21</v>
      </c>
      <c r="E1253" s="17">
        <v>13257.55</v>
      </c>
      <c r="F1253" s="17">
        <v>4453.2799999999988</v>
      </c>
      <c r="G1253" s="17">
        <v>4453.28</v>
      </c>
    </row>
    <row r="1254" spans="1:7" x14ac:dyDescent="0.3">
      <c r="A1254" t="s">
        <v>43</v>
      </c>
      <c r="B1254" t="s">
        <v>27</v>
      </c>
      <c r="C1254" t="s">
        <v>24</v>
      </c>
      <c r="D1254" t="s">
        <v>18</v>
      </c>
      <c r="E1254" s="17">
        <v>8180.49</v>
      </c>
      <c r="F1254" s="17">
        <v>2387.4</v>
      </c>
      <c r="G1254" s="17">
        <v>2387.4</v>
      </c>
    </row>
    <row r="1255" spans="1:7" x14ac:dyDescent="0.3">
      <c r="A1255" t="s">
        <v>43</v>
      </c>
      <c r="B1255" t="s">
        <v>27</v>
      </c>
      <c r="C1255" t="s">
        <v>24</v>
      </c>
      <c r="D1255" t="s">
        <v>19</v>
      </c>
      <c r="E1255" s="17">
        <v>12395.81</v>
      </c>
      <c r="F1255" s="17">
        <v>4351.91</v>
      </c>
      <c r="G1255" s="17">
        <v>4351.91</v>
      </c>
    </row>
    <row r="1256" spans="1:7" x14ac:dyDescent="0.3">
      <c r="A1256" t="s">
        <v>43</v>
      </c>
      <c r="B1256" t="s">
        <v>27</v>
      </c>
      <c r="C1256" t="s">
        <v>24</v>
      </c>
      <c r="D1256" t="s">
        <v>20</v>
      </c>
      <c r="E1256" s="17">
        <v>22242.880000000001</v>
      </c>
      <c r="F1256" s="17">
        <v>4562.8100000000013</v>
      </c>
      <c r="G1256" s="17">
        <v>4562.8100000000004</v>
      </c>
    </row>
    <row r="1257" spans="1:7" x14ac:dyDescent="0.3">
      <c r="A1257" t="s">
        <v>43</v>
      </c>
      <c r="B1257" t="s">
        <v>27</v>
      </c>
      <c r="C1257" t="s">
        <v>24</v>
      </c>
      <c r="D1257" t="s">
        <v>21</v>
      </c>
      <c r="E1257" s="17">
        <v>13859.11</v>
      </c>
      <c r="F1257" s="17">
        <v>3535.75</v>
      </c>
      <c r="G1257" s="17">
        <v>3535.75</v>
      </c>
    </row>
    <row r="1258" spans="1:7" x14ac:dyDescent="0.3">
      <c r="A1258" t="s">
        <v>43</v>
      </c>
      <c r="B1258" t="s">
        <v>27</v>
      </c>
      <c r="C1258" t="s">
        <v>25</v>
      </c>
      <c r="D1258" t="s">
        <v>18</v>
      </c>
      <c r="E1258" s="17">
        <v>23535.73</v>
      </c>
      <c r="F1258" s="17">
        <v>6581.75</v>
      </c>
      <c r="G1258" s="17">
        <v>6581.75</v>
      </c>
    </row>
    <row r="1259" spans="1:7" x14ac:dyDescent="0.3">
      <c r="A1259" t="s">
        <v>43</v>
      </c>
      <c r="B1259" t="s">
        <v>27</v>
      </c>
      <c r="C1259" t="s">
        <v>25</v>
      </c>
      <c r="D1259" t="s">
        <v>19</v>
      </c>
      <c r="E1259" s="17">
        <v>23855.84</v>
      </c>
      <c r="F1259" s="17">
        <v>6402.1499999999978</v>
      </c>
      <c r="G1259" s="17">
        <v>6402.15</v>
      </c>
    </row>
    <row r="1260" spans="1:7" x14ac:dyDescent="0.3">
      <c r="A1260" t="s">
        <v>43</v>
      </c>
      <c r="B1260" t="s">
        <v>27</v>
      </c>
      <c r="C1260" t="s">
        <v>25</v>
      </c>
      <c r="D1260" t="s">
        <v>20</v>
      </c>
      <c r="E1260" s="17">
        <v>2056.88</v>
      </c>
      <c r="F1260" s="17">
        <v>800.15999999999985</v>
      </c>
      <c r="G1260" s="17">
        <v>800.16</v>
      </c>
    </row>
    <row r="1261" spans="1:7" x14ac:dyDescent="0.3">
      <c r="A1261" t="s">
        <v>43</v>
      </c>
      <c r="B1261" t="s">
        <v>27</v>
      </c>
      <c r="C1261" t="s">
        <v>25</v>
      </c>
      <c r="D1261" t="s">
        <v>21</v>
      </c>
      <c r="E1261" s="17">
        <v>18852.650000000001</v>
      </c>
      <c r="F1261" s="17">
        <v>7114.08</v>
      </c>
      <c r="G1261" s="17">
        <v>7114.08</v>
      </c>
    </row>
    <row r="1262" spans="1:7" x14ac:dyDescent="0.3">
      <c r="A1262" t="s">
        <v>43</v>
      </c>
      <c r="B1262" t="s">
        <v>28</v>
      </c>
      <c r="C1262" t="s">
        <v>17</v>
      </c>
      <c r="D1262" t="s">
        <v>18</v>
      </c>
      <c r="E1262" s="17">
        <v>12544.33</v>
      </c>
      <c r="F1262" s="17">
        <v>4507.41</v>
      </c>
      <c r="G1262" s="17">
        <v>4507.41</v>
      </c>
    </row>
    <row r="1263" spans="1:7" x14ac:dyDescent="0.3">
      <c r="A1263" t="s">
        <v>43</v>
      </c>
      <c r="B1263" t="s">
        <v>28</v>
      </c>
      <c r="C1263" t="s">
        <v>17</v>
      </c>
      <c r="D1263" t="s">
        <v>19</v>
      </c>
      <c r="E1263" s="17">
        <v>10239.120000000001</v>
      </c>
      <c r="F1263" s="17">
        <v>2018.120000000001</v>
      </c>
      <c r="G1263" s="17">
        <v>2018.12</v>
      </c>
    </row>
    <row r="1264" spans="1:7" x14ac:dyDescent="0.3">
      <c r="A1264" t="s">
        <v>43</v>
      </c>
      <c r="B1264" t="s">
        <v>28</v>
      </c>
      <c r="C1264" t="s">
        <v>17</v>
      </c>
      <c r="D1264" t="s">
        <v>20</v>
      </c>
      <c r="E1264" s="17">
        <v>14291.76</v>
      </c>
      <c r="F1264" s="17">
        <v>3413.07</v>
      </c>
      <c r="G1264" s="17">
        <v>3413.07</v>
      </c>
    </row>
    <row r="1265" spans="1:7" x14ac:dyDescent="0.3">
      <c r="A1265" t="s">
        <v>43</v>
      </c>
      <c r="B1265" t="s">
        <v>28</v>
      </c>
      <c r="C1265" t="s">
        <v>17</v>
      </c>
      <c r="D1265" t="s">
        <v>21</v>
      </c>
      <c r="E1265" s="17">
        <v>11881.79</v>
      </c>
      <c r="F1265" s="17">
        <v>2818.360000000001</v>
      </c>
      <c r="G1265" s="17">
        <v>2818.36</v>
      </c>
    </row>
    <row r="1266" spans="1:7" x14ac:dyDescent="0.3">
      <c r="A1266" t="s">
        <v>43</v>
      </c>
      <c r="B1266" t="s">
        <v>28</v>
      </c>
      <c r="C1266" t="s">
        <v>22</v>
      </c>
      <c r="D1266" t="s">
        <v>18</v>
      </c>
      <c r="E1266" s="17">
        <v>8176.35</v>
      </c>
      <c r="F1266" s="17">
        <v>3300.41</v>
      </c>
      <c r="G1266" s="17">
        <v>3300.41</v>
      </c>
    </row>
    <row r="1267" spans="1:7" x14ac:dyDescent="0.3">
      <c r="A1267" t="s">
        <v>43</v>
      </c>
      <c r="B1267" t="s">
        <v>28</v>
      </c>
      <c r="C1267" t="s">
        <v>22</v>
      </c>
      <c r="D1267" t="s">
        <v>19</v>
      </c>
      <c r="E1267" s="17">
        <v>9768.3700000000008</v>
      </c>
      <c r="F1267" s="17">
        <v>3282.58</v>
      </c>
      <c r="G1267" s="17">
        <v>3282.58</v>
      </c>
    </row>
    <row r="1268" spans="1:7" x14ac:dyDescent="0.3">
      <c r="A1268" t="s">
        <v>43</v>
      </c>
      <c r="B1268" t="s">
        <v>28</v>
      </c>
      <c r="C1268" t="s">
        <v>22</v>
      </c>
      <c r="D1268" t="s">
        <v>20</v>
      </c>
      <c r="E1268" s="17">
        <v>15021.27</v>
      </c>
      <c r="F1268" s="17">
        <v>4672.2299999999996</v>
      </c>
      <c r="G1268" s="17">
        <v>4672.2299999999996</v>
      </c>
    </row>
    <row r="1269" spans="1:7" x14ac:dyDescent="0.3">
      <c r="A1269" t="s">
        <v>43</v>
      </c>
      <c r="B1269" t="s">
        <v>28</v>
      </c>
      <c r="C1269" t="s">
        <v>22</v>
      </c>
      <c r="D1269" t="s">
        <v>21</v>
      </c>
      <c r="E1269" s="17">
        <v>9906.01</v>
      </c>
      <c r="F1269" s="17">
        <v>3608.65</v>
      </c>
      <c r="G1269" s="17">
        <v>3608.65</v>
      </c>
    </row>
    <row r="1270" spans="1:7" x14ac:dyDescent="0.3">
      <c r="A1270" t="s">
        <v>43</v>
      </c>
      <c r="B1270" t="s">
        <v>28</v>
      </c>
      <c r="C1270" t="s">
        <v>23</v>
      </c>
      <c r="D1270" t="s">
        <v>18</v>
      </c>
      <c r="E1270" s="17">
        <v>3113.41</v>
      </c>
      <c r="F1270" s="17">
        <v>644.11999999999989</v>
      </c>
      <c r="G1270" s="17">
        <v>644.12</v>
      </c>
    </row>
    <row r="1271" spans="1:7" x14ac:dyDescent="0.3">
      <c r="A1271" t="s">
        <v>43</v>
      </c>
      <c r="B1271" t="s">
        <v>28</v>
      </c>
      <c r="C1271" t="s">
        <v>23</v>
      </c>
      <c r="D1271" t="s">
        <v>19</v>
      </c>
      <c r="E1271" s="17">
        <v>20029.46</v>
      </c>
      <c r="F1271" s="17">
        <v>6090.7000000000007</v>
      </c>
      <c r="G1271" s="17">
        <v>6090.7</v>
      </c>
    </row>
    <row r="1272" spans="1:7" x14ac:dyDescent="0.3">
      <c r="A1272" t="s">
        <v>43</v>
      </c>
      <c r="B1272" t="s">
        <v>28</v>
      </c>
      <c r="C1272" t="s">
        <v>23</v>
      </c>
      <c r="D1272" t="s">
        <v>20</v>
      </c>
      <c r="E1272" s="17">
        <v>4857.46</v>
      </c>
      <c r="F1272" s="17">
        <v>1999.17</v>
      </c>
      <c r="G1272" s="17">
        <v>1999.17</v>
      </c>
    </row>
    <row r="1273" spans="1:7" x14ac:dyDescent="0.3">
      <c r="A1273" t="s">
        <v>43</v>
      </c>
      <c r="B1273" t="s">
        <v>28</v>
      </c>
      <c r="C1273" t="s">
        <v>23</v>
      </c>
      <c r="D1273" t="s">
        <v>21</v>
      </c>
      <c r="E1273" s="17">
        <v>12149.58</v>
      </c>
      <c r="F1273" s="17">
        <v>2189.139999999999</v>
      </c>
      <c r="G1273" s="17">
        <v>2189.14</v>
      </c>
    </row>
    <row r="1274" spans="1:7" x14ac:dyDescent="0.3">
      <c r="A1274" t="s">
        <v>43</v>
      </c>
      <c r="B1274" t="s">
        <v>28</v>
      </c>
      <c r="C1274" t="s">
        <v>24</v>
      </c>
      <c r="D1274" t="s">
        <v>18</v>
      </c>
      <c r="E1274" s="17">
        <v>24034.73</v>
      </c>
      <c r="F1274" s="17">
        <v>5639.1700000000019</v>
      </c>
      <c r="G1274" s="17">
        <v>5639.17</v>
      </c>
    </row>
    <row r="1275" spans="1:7" x14ac:dyDescent="0.3">
      <c r="A1275" t="s">
        <v>43</v>
      </c>
      <c r="B1275" t="s">
        <v>28</v>
      </c>
      <c r="C1275" t="s">
        <v>24</v>
      </c>
      <c r="D1275" t="s">
        <v>19</v>
      </c>
      <c r="E1275" s="17">
        <v>17837.61</v>
      </c>
      <c r="F1275" s="17">
        <v>3846.08</v>
      </c>
      <c r="G1275" s="17">
        <v>3846.08</v>
      </c>
    </row>
    <row r="1276" spans="1:7" x14ac:dyDescent="0.3">
      <c r="A1276" t="s">
        <v>43</v>
      </c>
      <c r="B1276" t="s">
        <v>28</v>
      </c>
      <c r="C1276" t="s">
        <v>24</v>
      </c>
      <c r="D1276" t="s">
        <v>20</v>
      </c>
      <c r="E1276" s="17">
        <v>16949.939999999999</v>
      </c>
      <c r="F1276" s="17">
        <v>3778.5499999999988</v>
      </c>
      <c r="G1276" s="17">
        <v>3778.55</v>
      </c>
    </row>
    <row r="1277" spans="1:7" x14ac:dyDescent="0.3">
      <c r="A1277" t="s">
        <v>43</v>
      </c>
      <c r="B1277" t="s">
        <v>28</v>
      </c>
      <c r="C1277" t="s">
        <v>24</v>
      </c>
      <c r="D1277" t="s">
        <v>21</v>
      </c>
      <c r="E1277" s="17">
        <v>23452.69</v>
      </c>
      <c r="F1277" s="17">
        <v>5956.6399999999994</v>
      </c>
      <c r="G1277" s="17">
        <v>5956.64</v>
      </c>
    </row>
    <row r="1278" spans="1:7" x14ac:dyDescent="0.3">
      <c r="A1278" t="s">
        <v>43</v>
      </c>
      <c r="B1278" t="s">
        <v>28</v>
      </c>
      <c r="C1278" t="s">
        <v>25</v>
      </c>
      <c r="D1278" t="s">
        <v>18</v>
      </c>
      <c r="E1278" s="17">
        <v>17055.52</v>
      </c>
      <c r="F1278" s="17">
        <v>4223.0299999999988</v>
      </c>
      <c r="G1278" s="17">
        <v>4223.03</v>
      </c>
    </row>
    <row r="1279" spans="1:7" x14ac:dyDescent="0.3">
      <c r="A1279" t="s">
        <v>43</v>
      </c>
      <c r="B1279" t="s">
        <v>28</v>
      </c>
      <c r="C1279" t="s">
        <v>25</v>
      </c>
      <c r="D1279" t="s">
        <v>19</v>
      </c>
      <c r="E1279" s="17">
        <v>10552.41</v>
      </c>
      <c r="F1279" s="17">
        <v>4474.5</v>
      </c>
      <c r="G1279" s="17">
        <v>4474.5</v>
      </c>
    </row>
    <row r="1280" spans="1:7" x14ac:dyDescent="0.3">
      <c r="A1280" t="s">
        <v>43</v>
      </c>
      <c r="B1280" t="s">
        <v>28</v>
      </c>
      <c r="C1280" t="s">
        <v>25</v>
      </c>
      <c r="D1280" t="s">
        <v>20</v>
      </c>
      <c r="E1280" s="17">
        <v>5807.08</v>
      </c>
      <c r="F1280" s="17">
        <v>1666.7</v>
      </c>
      <c r="G1280" s="17">
        <v>1666.7</v>
      </c>
    </row>
    <row r="1281" spans="1:7" x14ac:dyDescent="0.3">
      <c r="A1281" t="s">
        <v>43</v>
      </c>
      <c r="B1281" t="s">
        <v>28</v>
      </c>
      <c r="C1281" t="s">
        <v>25</v>
      </c>
      <c r="D1281" t="s">
        <v>21</v>
      </c>
      <c r="E1281" s="17">
        <v>9026.7099999999991</v>
      </c>
      <c r="F1281" s="17">
        <v>3329.49</v>
      </c>
      <c r="G1281" s="17">
        <v>3329.49</v>
      </c>
    </row>
    <row r="1282" spans="1:7" x14ac:dyDescent="0.3">
      <c r="A1282" t="s">
        <v>44</v>
      </c>
      <c r="B1282" t="s">
        <v>16</v>
      </c>
      <c r="C1282" t="s">
        <v>17</v>
      </c>
      <c r="D1282" t="s">
        <v>18</v>
      </c>
      <c r="E1282" s="17">
        <v>7385.31</v>
      </c>
      <c r="F1282" s="17">
        <v>2636.42</v>
      </c>
      <c r="G1282" s="17">
        <v>2636.42</v>
      </c>
    </row>
    <row r="1283" spans="1:7" x14ac:dyDescent="0.3">
      <c r="A1283" t="s">
        <v>44</v>
      </c>
      <c r="B1283" t="s">
        <v>16</v>
      </c>
      <c r="C1283" t="s">
        <v>17</v>
      </c>
      <c r="D1283" t="s">
        <v>19</v>
      </c>
      <c r="E1283" s="17">
        <v>18185.05</v>
      </c>
      <c r="F1283" s="17">
        <v>3278.639999999999</v>
      </c>
      <c r="G1283" s="17">
        <v>3278.64</v>
      </c>
    </row>
    <row r="1284" spans="1:7" x14ac:dyDescent="0.3">
      <c r="A1284" t="s">
        <v>44</v>
      </c>
      <c r="B1284" t="s">
        <v>16</v>
      </c>
      <c r="C1284" t="s">
        <v>17</v>
      </c>
      <c r="D1284" t="s">
        <v>20</v>
      </c>
      <c r="E1284" s="17">
        <v>12966.55</v>
      </c>
      <c r="F1284" s="17">
        <v>2798.559999999999</v>
      </c>
      <c r="G1284" s="17">
        <v>2798.56</v>
      </c>
    </row>
    <row r="1285" spans="1:7" x14ac:dyDescent="0.3">
      <c r="A1285" t="s">
        <v>44</v>
      </c>
      <c r="B1285" t="s">
        <v>16</v>
      </c>
      <c r="C1285" t="s">
        <v>17</v>
      </c>
      <c r="D1285" t="s">
        <v>21</v>
      </c>
      <c r="E1285" s="17">
        <v>7202.39</v>
      </c>
      <c r="F1285" s="17">
        <v>2618.7600000000002</v>
      </c>
      <c r="G1285" s="17">
        <v>2618.7600000000002</v>
      </c>
    </row>
    <row r="1286" spans="1:7" x14ac:dyDescent="0.3">
      <c r="A1286" t="s">
        <v>44</v>
      </c>
      <c r="B1286" t="s">
        <v>16</v>
      </c>
      <c r="C1286" t="s">
        <v>22</v>
      </c>
      <c r="D1286" t="s">
        <v>18</v>
      </c>
      <c r="E1286" s="17">
        <v>2213.6</v>
      </c>
      <c r="F1286" s="17">
        <v>814.19</v>
      </c>
      <c r="G1286" s="17">
        <v>814.19</v>
      </c>
    </row>
    <row r="1287" spans="1:7" x14ac:dyDescent="0.3">
      <c r="A1287" t="s">
        <v>44</v>
      </c>
      <c r="B1287" t="s">
        <v>16</v>
      </c>
      <c r="C1287" t="s">
        <v>22</v>
      </c>
      <c r="D1287" t="s">
        <v>19</v>
      </c>
      <c r="E1287" s="17">
        <v>20793.509999999998</v>
      </c>
      <c r="F1287" s="17">
        <v>9290.58</v>
      </c>
      <c r="G1287" s="17">
        <v>9290.58</v>
      </c>
    </row>
    <row r="1288" spans="1:7" x14ac:dyDescent="0.3">
      <c r="A1288" t="s">
        <v>44</v>
      </c>
      <c r="B1288" t="s">
        <v>16</v>
      </c>
      <c r="C1288" t="s">
        <v>22</v>
      </c>
      <c r="D1288" t="s">
        <v>20</v>
      </c>
      <c r="E1288" s="17">
        <v>11713.22</v>
      </c>
      <c r="F1288" s="17">
        <v>2526.389999999999</v>
      </c>
      <c r="G1288" s="17">
        <v>2526.39</v>
      </c>
    </row>
    <row r="1289" spans="1:7" x14ac:dyDescent="0.3">
      <c r="A1289" t="s">
        <v>44</v>
      </c>
      <c r="B1289" t="s">
        <v>16</v>
      </c>
      <c r="C1289" t="s">
        <v>22</v>
      </c>
      <c r="D1289" t="s">
        <v>21</v>
      </c>
      <c r="E1289" s="17">
        <v>3629.05</v>
      </c>
      <c r="F1289" s="17">
        <v>1028.58</v>
      </c>
      <c r="G1289" s="17">
        <v>1028.58</v>
      </c>
    </row>
    <row r="1290" spans="1:7" x14ac:dyDescent="0.3">
      <c r="A1290" t="s">
        <v>44</v>
      </c>
      <c r="B1290" t="s">
        <v>16</v>
      </c>
      <c r="C1290" t="s">
        <v>23</v>
      </c>
      <c r="D1290" t="s">
        <v>18</v>
      </c>
      <c r="E1290" s="17">
        <v>18807.560000000001</v>
      </c>
      <c r="F1290" s="17">
        <v>3905.49</v>
      </c>
      <c r="G1290" s="17">
        <v>3905.49</v>
      </c>
    </row>
    <row r="1291" spans="1:7" x14ac:dyDescent="0.3">
      <c r="A1291" t="s">
        <v>44</v>
      </c>
      <c r="B1291" t="s">
        <v>16</v>
      </c>
      <c r="C1291" t="s">
        <v>23</v>
      </c>
      <c r="D1291" t="s">
        <v>19</v>
      </c>
      <c r="E1291" s="17">
        <v>9207.08</v>
      </c>
      <c r="F1291" s="17">
        <v>3847.34</v>
      </c>
      <c r="G1291" s="17">
        <v>3847.34</v>
      </c>
    </row>
    <row r="1292" spans="1:7" x14ac:dyDescent="0.3">
      <c r="A1292" t="s">
        <v>44</v>
      </c>
      <c r="B1292" t="s">
        <v>16</v>
      </c>
      <c r="C1292" t="s">
        <v>23</v>
      </c>
      <c r="D1292" t="s">
        <v>20</v>
      </c>
      <c r="E1292" s="17">
        <v>5153.97</v>
      </c>
      <c r="F1292" s="17">
        <v>2004.04</v>
      </c>
      <c r="G1292" s="17">
        <v>2004.04</v>
      </c>
    </row>
    <row r="1293" spans="1:7" x14ac:dyDescent="0.3">
      <c r="A1293" t="s">
        <v>44</v>
      </c>
      <c r="B1293" t="s">
        <v>16</v>
      </c>
      <c r="C1293" t="s">
        <v>23</v>
      </c>
      <c r="D1293" t="s">
        <v>21</v>
      </c>
      <c r="E1293" s="17">
        <v>19322.63</v>
      </c>
      <c r="F1293" s="17">
        <v>4172.7099999999991</v>
      </c>
      <c r="G1293" s="17">
        <v>4172.71</v>
      </c>
    </row>
    <row r="1294" spans="1:7" x14ac:dyDescent="0.3">
      <c r="A1294" t="s">
        <v>44</v>
      </c>
      <c r="B1294" t="s">
        <v>16</v>
      </c>
      <c r="C1294" t="s">
        <v>24</v>
      </c>
      <c r="D1294" t="s">
        <v>18</v>
      </c>
      <c r="E1294" s="17">
        <v>24837.62</v>
      </c>
      <c r="F1294" s="17">
        <v>5428.77</v>
      </c>
      <c r="G1294" s="17">
        <v>5428.77</v>
      </c>
    </row>
    <row r="1295" spans="1:7" x14ac:dyDescent="0.3">
      <c r="A1295" t="s">
        <v>44</v>
      </c>
      <c r="B1295" t="s">
        <v>16</v>
      </c>
      <c r="C1295" t="s">
        <v>24</v>
      </c>
      <c r="D1295" t="s">
        <v>19</v>
      </c>
      <c r="E1295" s="17">
        <v>14201.69</v>
      </c>
      <c r="F1295" s="17">
        <v>2588.8000000000011</v>
      </c>
      <c r="G1295" s="17">
        <v>2588.8000000000002</v>
      </c>
    </row>
    <row r="1296" spans="1:7" x14ac:dyDescent="0.3">
      <c r="A1296" t="s">
        <v>44</v>
      </c>
      <c r="B1296" t="s">
        <v>16</v>
      </c>
      <c r="C1296" t="s">
        <v>24</v>
      </c>
      <c r="D1296" t="s">
        <v>20</v>
      </c>
      <c r="E1296" s="17">
        <v>16950.46</v>
      </c>
      <c r="F1296" s="17">
        <v>5065.25</v>
      </c>
      <c r="G1296" s="17">
        <v>5065.25</v>
      </c>
    </row>
    <row r="1297" spans="1:7" x14ac:dyDescent="0.3">
      <c r="A1297" t="s">
        <v>44</v>
      </c>
      <c r="B1297" t="s">
        <v>16</v>
      </c>
      <c r="C1297" t="s">
        <v>24</v>
      </c>
      <c r="D1297" t="s">
        <v>21</v>
      </c>
      <c r="E1297" s="17">
        <v>18615.939999999999</v>
      </c>
      <c r="F1297" s="17">
        <v>6507.7900000000009</v>
      </c>
      <c r="G1297" s="17">
        <v>6507.79</v>
      </c>
    </row>
    <row r="1298" spans="1:7" x14ac:dyDescent="0.3">
      <c r="A1298" t="s">
        <v>44</v>
      </c>
      <c r="B1298" t="s">
        <v>16</v>
      </c>
      <c r="C1298" t="s">
        <v>25</v>
      </c>
      <c r="D1298" t="s">
        <v>18</v>
      </c>
      <c r="E1298" s="17">
        <v>5481.61</v>
      </c>
      <c r="F1298" s="17">
        <v>1596.03</v>
      </c>
      <c r="G1298" s="17">
        <v>1596.03</v>
      </c>
    </row>
    <row r="1299" spans="1:7" x14ac:dyDescent="0.3">
      <c r="A1299" t="s">
        <v>44</v>
      </c>
      <c r="B1299" t="s">
        <v>16</v>
      </c>
      <c r="C1299" t="s">
        <v>25</v>
      </c>
      <c r="D1299" t="s">
        <v>19</v>
      </c>
      <c r="E1299" s="17">
        <v>17791.02</v>
      </c>
      <c r="F1299" s="17">
        <v>7333.2799999999988</v>
      </c>
      <c r="G1299" s="17">
        <v>7333.28</v>
      </c>
    </row>
    <row r="1300" spans="1:7" x14ac:dyDescent="0.3">
      <c r="A1300" t="s">
        <v>44</v>
      </c>
      <c r="B1300" t="s">
        <v>16</v>
      </c>
      <c r="C1300" t="s">
        <v>25</v>
      </c>
      <c r="D1300" t="s">
        <v>20</v>
      </c>
      <c r="E1300" s="17">
        <v>3993.82</v>
      </c>
      <c r="F1300" s="17">
        <v>827.2199999999998</v>
      </c>
      <c r="G1300" s="17">
        <v>827.22</v>
      </c>
    </row>
    <row r="1301" spans="1:7" x14ac:dyDescent="0.3">
      <c r="A1301" t="s">
        <v>44</v>
      </c>
      <c r="B1301" t="s">
        <v>16</v>
      </c>
      <c r="C1301" t="s">
        <v>25</v>
      </c>
      <c r="D1301" t="s">
        <v>21</v>
      </c>
      <c r="E1301" s="17">
        <v>19306.25</v>
      </c>
      <c r="F1301" s="17">
        <v>6548.3899999999994</v>
      </c>
      <c r="G1301" s="17">
        <v>6548.39</v>
      </c>
    </row>
    <row r="1302" spans="1:7" x14ac:dyDescent="0.3">
      <c r="A1302" t="s">
        <v>44</v>
      </c>
      <c r="B1302" t="s">
        <v>26</v>
      </c>
      <c r="C1302" t="s">
        <v>17</v>
      </c>
      <c r="D1302" t="s">
        <v>18</v>
      </c>
      <c r="E1302" s="17">
        <v>10832.73</v>
      </c>
      <c r="F1302" s="17">
        <v>4767.24</v>
      </c>
      <c r="G1302" s="17">
        <v>4767.24</v>
      </c>
    </row>
    <row r="1303" spans="1:7" x14ac:dyDescent="0.3">
      <c r="A1303" t="s">
        <v>44</v>
      </c>
      <c r="B1303" t="s">
        <v>26</v>
      </c>
      <c r="C1303" t="s">
        <v>17</v>
      </c>
      <c r="D1303" t="s">
        <v>19</v>
      </c>
      <c r="E1303" s="17">
        <v>9233.58</v>
      </c>
      <c r="F1303" s="17">
        <v>2010.65</v>
      </c>
      <c r="G1303" s="17">
        <v>2010.65</v>
      </c>
    </row>
    <row r="1304" spans="1:7" x14ac:dyDescent="0.3">
      <c r="A1304" t="s">
        <v>44</v>
      </c>
      <c r="B1304" t="s">
        <v>26</v>
      </c>
      <c r="C1304" t="s">
        <v>17</v>
      </c>
      <c r="D1304" t="s">
        <v>20</v>
      </c>
      <c r="E1304" s="17">
        <v>8370.26</v>
      </c>
      <c r="F1304" s="17">
        <v>1697.05</v>
      </c>
      <c r="G1304" s="17">
        <v>1697.05</v>
      </c>
    </row>
    <row r="1305" spans="1:7" x14ac:dyDescent="0.3">
      <c r="A1305" t="s">
        <v>44</v>
      </c>
      <c r="B1305" t="s">
        <v>26</v>
      </c>
      <c r="C1305" t="s">
        <v>17</v>
      </c>
      <c r="D1305" t="s">
        <v>21</v>
      </c>
      <c r="E1305" s="17">
        <v>14728.12</v>
      </c>
      <c r="F1305" s="17">
        <v>5037.0500000000011</v>
      </c>
      <c r="G1305" s="17">
        <v>5037.05</v>
      </c>
    </row>
    <row r="1306" spans="1:7" x14ac:dyDescent="0.3">
      <c r="A1306" t="s">
        <v>44</v>
      </c>
      <c r="B1306" t="s">
        <v>26</v>
      </c>
      <c r="C1306" t="s">
        <v>22</v>
      </c>
      <c r="D1306" t="s">
        <v>18</v>
      </c>
      <c r="E1306" s="17">
        <v>15974.64</v>
      </c>
      <c r="F1306" s="17">
        <v>6235.25</v>
      </c>
      <c r="G1306" s="17">
        <v>6235.25</v>
      </c>
    </row>
    <row r="1307" spans="1:7" x14ac:dyDescent="0.3">
      <c r="A1307" t="s">
        <v>44</v>
      </c>
      <c r="B1307" t="s">
        <v>26</v>
      </c>
      <c r="C1307" t="s">
        <v>22</v>
      </c>
      <c r="D1307" t="s">
        <v>19</v>
      </c>
      <c r="E1307" s="17">
        <v>17880.95</v>
      </c>
      <c r="F1307" s="17">
        <v>7312.07</v>
      </c>
      <c r="G1307" s="17">
        <v>7312.07</v>
      </c>
    </row>
    <row r="1308" spans="1:7" x14ac:dyDescent="0.3">
      <c r="A1308" t="s">
        <v>44</v>
      </c>
      <c r="B1308" t="s">
        <v>26</v>
      </c>
      <c r="C1308" t="s">
        <v>22</v>
      </c>
      <c r="D1308" t="s">
        <v>20</v>
      </c>
      <c r="E1308" s="17">
        <v>17143.32</v>
      </c>
      <c r="F1308" s="17">
        <v>4482.0400000000009</v>
      </c>
      <c r="G1308" s="17">
        <v>4482.04</v>
      </c>
    </row>
    <row r="1309" spans="1:7" x14ac:dyDescent="0.3">
      <c r="A1309" t="s">
        <v>44</v>
      </c>
      <c r="B1309" t="s">
        <v>26</v>
      </c>
      <c r="C1309" t="s">
        <v>22</v>
      </c>
      <c r="D1309" t="s">
        <v>21</v>
      </c>
      <c r="E1309" s="17">
        <v>13908.23</v>
      </c>
      <c r="F1309" s="17">
        <v>4416.8500000000004</v>
      </c>
      <c r="G1309" s="17">
        <v>4416.8500000000004</v>
      </c>
    </row>
    <row r="1310" spans="1:7" x14ac:dyDescent="0.3">
      <c r="A1310" t="s">
        <v>44</v>
      </c>
      <c r="B1310" t="s">
        <v>26</v>
      </c>
      <c r="C1310" t="s">
        <v>23</v>
      </c>
      <c r="D1310" t="s">
        <v>18</v>
      </c>
      <c r="E1310" s="17">
        <v>19200.400000000001</v>
      </c>
      <c r="F1310" s="17">
        <v>4988.1899999999987</v>
      </c>
      <c r="G1310" s="17">
        <v>4988.1899999999996</v>
      </c>
    </row>
    <row r="1311" spans="1:7" x14ac:dyDescent="0.3">
      <c r="A1311" t="s">
        <v>44</v>
      </c>
      <c r="B1311" t="s">
        <v>26</v>
      </c>
      <c r="C1311" t="s">
        <v>23</v>
      </c>
      <c r="D1311" t="s">
        <v>19</v>
      </c>
      <c r="E1311" s="17">
        <v>3255.09</v>
      </c>
      <c r="F1311" s="17">
        <v>1375.07</v>
      </c>
      <c r="G1311" s="17">
        <v>1375.07</v>
      </c>
    </row>
    <row r="1312" spans="1:7" x14ac:dyDescent="0.3">
      <c r="A1312" t="s">
        <v>44</v>
      </c>
      <c r="B1312" t="s">
        <v>26</v>
      </c>
      <c r="C1312" t="s">
        <v>23</v>
      </c>
      <c r="D1312" t="s">
        <v>20</v>
      </c>
      <c r="E1312" s="17">
        <v>23957.439999999999</v>
      </c>
      <c r="F1312" s="17">
        <v>7513.52</v>
      </c>
      <c r="G1312" s="17">
        <v>7513.52</v>
      </c>
    </row>
    <row r="1313" spans="1:7" x14ac:dyDescent="0.3">
      <c r="A1313" t="s">
        <v>44</v>
      </c>
      <c r="B1313" t="s">
        <v>26</v>
      </c>
      <c r="C1313" t="s">
        <v>23</v>
      </c>
      <c r="D1313" t="s">
        <v>21</v>
      </c>
      <c r="E1313" s="17">
        <v>4593.1000000000004</v>
      </c>
      <c r="F1313" s="17">
        <v>1446.31</v>
      </c>
      <c r="G1313" s="17">
        <v>1446.31</v>
      </c>
    </row>
    <row r="1314" spans="1:7" x14ac:dyDescent="0.3">
      <c r="A1314" t="s">
        <v>44</v>
      </c>
      <c r="B1314" t="s">
        <v>26</v>
      </c>
      <c r="C1314" t="s">
        <v>24</v>
      </c>
      <c r="D1314" t="s">
        <v>18</v>
      </c>
      <c r="E1314" s="17">
        <v>15660.38</v>
      </c>
      <c r="F1314" s="17">
        <v>5052.6200000000008</v>
      </c>
      <c r="G1314" s="17">
        <v>5052.62</v>
      </c>
    </row>
    <row r="1315" spans="1:7" x14ac:dyDescent="0.3">
      <c r="A1315" t="s">
        <v>44</v>
      </c>
      <c r="B1315" t="s">
        <v>26</v>
      </c>
      <c r="C1315" t="s">
        <v>24</v>
      </c>
      <c r="D1315" t="s">
        <v>19</v>
      </c>
      <c r="E1315" s="17">
        <v>24487.03</v>
      </c>
      <c r="F1315" s="17">
        <v>10932.44</v>
      </c>
      <c r="G1315" s="17">
        <v>10932.44</v>
      </c>
    </row>
    <row r="1316" spans="1:7" x14ac:dyDescent="0.3">
      <c r="A1316" t="s">
        <v>44</v>
      </c>
      <c r="B1316" t="s">
        <v>26</v>
      </c>
      <c r="C1316" t="s">
        <v>24</v>
      </c>
      <c r="D1316" t="s">
        <v>20</v>
      </c>
      <c r="E1316" s="17">
        <v>23480.26</v>
      </c>
      <c r="F1316" s="17">
        <v>5063.1700000000019</v>
      </c>
      <c r="G1316" s="17">
        <v>5063.17</v>
      </c>
    </row>
    <row r="1317" spans="1:7" x14ac:dyDescent="0.3">
      <c r="A1317" t="s">
        <v>44</v>
      </c>
      <c r="B1317" t="s">
        <v>26</v>
      </c>
      <c r="C1317" t="s">
        <v>24</v>
      </c>
      <c r="D1317" t="s">
        <v>21</v>
      </c>
      <c r="E1317" s="17">
        <v>21798.720000000001</v>
      </c>
      <c r="F1317" s="17">
        <v>7269.0600000000013</v>
      </c>
      <c r="G1317" s="17">
        <v>7269.06</v>
      </c>
    </row>
    <row r="1318" spans="1:7" x14ac:dyDescent="0.3">
      <c r="A1318" t="s">
        <v>44</v>
      </c>
      <c r="B1318" t="s">
        <v>26</v>
      </c>
      <c r="C1318" t="s">
        <v>25</v>
      </c>
      <c r="D1318" t="s">
        <v>18</v>
      </c>
      <c r="E1318" s="17">
        <v>10404.49</v>
      </c>
      <c r="F1318" s="17">
        <v>3791.34</v>
      </c>
      <c r="G1318" s="17">
        <v>3791.34</v>
      </c>
    </row>
    <row r="1319" spans="1:7" x14ac:dyDescent="0.3">
      <c r="A1319" t="s">
        <v>44</v>
      </c>
      <c r="B1319" t="s">
        <v>26</v>
      </c>
      <c r="C1319" t="s">
        <v>25</v>
      </c>
      <c r="D1319" t="s">
        <v>19</v>
      </c>
      <c r="E1319" s="17">
        <v>19542.7</v>
      </c>
      <c r="F1319" s="17">
        <v>8553.8799999999992</v>
      </c>
      <c r="G1319" s="17">
        <v>8553.8799999999992</v>
      </c>
    </row>
    <row r="1320" spans="1:7" x14ac:dyDescent="0.3">
      <c r="A1320" t="s">
        <v>44</v>
      </c>
      <c r="B1320" t="s">
        <v>26</v>
      </c>
      <c r="C1320" t="s">
        <v>25</v>
      </c>
      <c r="D1320" t="s">
        <v>20</v>
      </c>
      <c r="E1320" s="17">
        <v>19718.439999999999</v>
      </c>
      <c r="F1320" s="17">
        <v>3638.17</v>
      </c>
      <c r="G1320" s="17">
        <v>3638.17</v>
      </c>
    </row>
    <row r="1321" spans="1:7" x14ac:dyDescent="0.3">
      <c r="A1321" t="s">
        <v>44</v>
      </c>
      <c r="B1321" t="s">
        <v>26</v>
      </c>
      <c r="C1321" t="s">
        <v>25</v>
      </c>
      <c r="D1321" t="s">
        <v>21</v>
      </c>
      <c r="E1321" s="17">
        <v>3553.25</v>
      </c>
      <c r="F1321" s="17">
        <v>891.11999999999989</v>
      </c>
      <c r="G1321" s="17">
        <v>891.12</v>
      </c>
    </row>
    <row r="1322" spans="1:7" x14ac:dyDescent="0.3">
      <c r="A1322" t="s">
        <v>44</v>
      </c>
      <c r="B1322" t="s">
        <v>27</v>
      </c>
      <c r="C1322" t="s">
        <v>17</v>
      </c>
      <c r="D1322" t="s">
        <v>18</v>
      </c>
      <c r="E1322" s="17">
        <v>2916.02</v>
      </c>
      <c r="F1322" s="17">
        <v>572.49000000000024</v>
      </c>
      <c r="G1322" s="17">
        <v>572.49</v>
      </c>
    </row>
    <row r="1323" spans="1:7" x14ac:dyDescent="0.3">
      <c r="A1323" t="s">
        <v>44</v>
      </c>
      <c r="B1323" t="s">
        <v>27</v>
      </c>
      <c r="C1323" t="s">
        <v>17</v>
      </c>
      <c r="D1323" t="s">
        <v>19</v>
      </c>
      <c r="E1323" s="17">
        <v>20153.669999999998</v>
      </c>
      <c r="F1323" s="17">
        <v>6384.380000000001</v>
      </c>
      <c r="G1323" s="17">
        <v>6384.38</v>
      </c>
    </row>
    <row r="1324" spans="1:7" x14ac:dyDescent="0.3">
      <c r="A1324" t="s">
        <v>44</v>
      </c>
      <c r="B1324" t="s">
        <v>27</v>
      </c>
      <c r="C1324" t="s">
        <v>17</v>
      </c>
      <c r="D1324" t="s">
        <v>20</v>
      </c>
      <c r="E1324" s="17">
        <v>16457.13</v>
      </c>
      <c r="F1324" s="17">
        <v>5188.66</v>
      </c>
      <c r="G1324" s="17">
        <v>5188.66</v>
      </c>
    </row>
    <row r="1325" spans="1:7" x14ac:dyDescent="0.3">
      <c r="A1325" t="s">
        <v>44</v>
      </c>
      <c r="B1325" t="s">
        <v>27</v>
      </c>
      <c r="C1325" t="s">
        <v>17</v>
      </c>
      <c r="D1325" t="s">
        <v>21</v>
      </c>
      <c r="E1325" s="17">
        <v>11554.94</v>
      </c>
      <c r="F1325" s="17">
        <v>4269.42</v>
      </c>
      <c r="G1325" s="17">
        <v>4269.42</v>
      </c>
    </row>
    <row r="1326" spans="1:7" x14ac:dyDescent="0.3">
      <c r="A1326" t="s">
        <v>44</v>
      </c>
      <c r="B1326" t="s">
        <v>27</v>
      </c>
      <c r="C1326" t="s">
        <v>22</v>
      </c>
      <c r="D1326" t="s">
        <v>18</v>
      </c>
      <c r="E1326" s="17">
        <v>3895.84</v>
      </c>
      <c r="F1326" s="17">
        <v>1265.6500000000001</v>
      </c>
      <c r="G1326" s="17">
        <v>1265.6500000000001</v>
      </c>
    </row>
    <row r="1327" spans="1:7" x14ac:dyDescent="0.3">
      <c r="A1327" t="s">
        <v>44</v>
      </c>
      <c r="B1327" t="s">
        <v>27</v>
      </c>
      <c r="C1327" t="s">
        <v>22</v>
      </c>
      <c r="D1327" t="s">
        <v>19</v>
      </c>
      <c r="E1327" s="17">
        <v>16169.08</v>
      </c>
      <c r="F1327" s="17">
        <v>4121.76</v>
      </c>
      <c r="G1327" s="17">
        <v>4121.76</v>
      </c>
    </row>
    <row r="1328" spans="1:7" x14ac:dyDescent="0.3">
      <c r="A1328" t="s">
        <v>44</v>
      </c>
      <c r="B1328" t="s">
        <v>27</v>
      </c>
      <c r="C1328" t="s">
        <v>22</v>
      </c>
      <c r="D1328" t="s">
        <v>20</v>
      </c>
      <c r="E1328" s="17">
        <v>9127.86</v>
      </c>
      <c r="F1328" s="17">
        <v>2903.139999999999</v>
      </c>
      <c r="G1328" s="17">
        <v>2903.14</v>
      </c>
    </row>
    <row r="1329" spans="1:7" x14ac:dyDescent="0.3">
      <c r="A1329" t="s">
        <v>44</v>
      </c>
      <c r="B1329" t="s">
        <v>27</v>
      </c>
      <c r="C1329" t="s">
        <v>22</v>
      </c>
      <c r="D1329" t="s">
        <v>21</v>
      </c>
      <c r="E1329" s="17">
        <v>6673.54</v>
      </c>
      <c r="F1329" s="17">
        <v>2657.24</v>
      </c>
      <c r="G1329" s="17">
        <v>2657.24</v>
      </c>
    </row>
    <row r="1330" spans="1:7" x14ac:dyDescent="0.3">
      <c r="A1330" t="s">
        <v>44</v>
      </c>
      <c r="B1330" t="s">
        <v>27</v>
      </c>
      <c r="C1330" t="s">
        <v>23</v>
      </c>
      <c r="D1330" t="s">
        <v>18</v>
      </c>
      <c r="E1330" s="17">
        <v>14336.97</v>
      </c>
      <c r="F1330" s="17">
        <v>4093.17</v>
      </c>
      <c r="G1330" s="17">
        <v>4093.17</v>
      </c>
    </row>
    <row r="1331" spans="1:7" x14ac:dyDescent="0.3">
      <c r="A1331" t="s">
        <v>44</v>
      </c>
      <c r="B1331" t="s">
        <v>27</v>
      </c>
      <c r="C1331" t="s">
        <v>23</v>
      </c>
      <c r="D1331" t="s">
        <v>19</v>
      </c>
      <c r="E1331" s="17">
        <v>16588.77</v>
      </c>
      <c r="F1331" s="17">
        <v>6723.7999999999993</v>
      </c>
      <c r="G1331" s="17">
        <v>6723.8</v>
      </c>
    </row>
    <row r="1332" spans="1:7" x14ac:dyDescent="0.3">
      <c r="A1332" t="s">
        <v>44</v>
      </c>
      <c r="B1332" t="s">
        <v>27</v>
      </c>
      <c r="C1332" t="s">
        <v>23</v>
      </c>
      <c r="D1332" t="s">
        <v>20</v>
      </c>
      <c r="E1332" s="17">
        <v>17664.28</v>
      </c>
      <c r="F1332" s="17">
        <v>3494.9</v>
      </c>
      <c r="G1332" s="17">
        <v>3494.9</v>
      </c>
    </row>
    <row r="1333" spans="1:7" x14ac:dyDescent="0.3">
      <c r="A1333" t="s">
        <v>44</v>
      </c>
      <c r="B1333" t="s">
        <v>27</v>
      </c>
      <c r="C1333" t="s">
        <v>23</v>
      </c>
      <c r="D1333" t="s">
        <v>21</v>
      </c>
      <c r="E1333" s="17">
        <v>18069.55</v>
      </c>
      <c r="F1333" s="17">
        <v>6813.82</v>
      </c>
      <c r="G1333" s="17">
        <v>6813.82</v>
      </c>
    </row>
    <row r="1334" spans="1:7" x14ac:dyDescent="0.3">
      <c r="A1334" t="s">
        <v>44</v>
      </c>
      <c r="B1334" t="s">
        <v>27</v>
      </c>
      <c r="C1334" t="s">
        <v>24</v>
      </c>
      <c r="D1334" t="s">
        <v>18</v>
      </c>
      <c r="E1334" s="17">
        <v>21468.77</v>
      </c>
      <c r="F1334" s="17">
        <v>4200.0299999999988</v>
      </c>
      <c r="G1334" s="17">
        <v>4200.03</v>
      </c>
    </row>
    <row r="1335" spans="1:7" x14ac:dyDescent="0.3">
      <c r="A1335" t="s">
        <v>44</v>
      </c>
      <c r="B1335" t="s">
        <v>27</v>
      </c>
      <c r="C1335" t="s">
        <v>24</v>
      </c>
      <c r="D1335" t="s">
        <v>19</v>
      </c>
      <c r="E1335" s="17">
        <v>3982.89</v>
      </c>
      <c r="F1335" s="17">
        <v>1184.1600000000001</v>
      </c>
      <c r="G1335" s="17">
        <v>1184.1600000000001</v>
      </c>
    </row>
    <row r="1336" spans="1:7" x14ac:dyDescent="0.3">
      <c r="A1336" t="s">
        <v>44</v>
      </c>
      <c r="B1336" t="s">
        <v>27</v>
      </c>
      <c r="C1336" t="s">
        <v>24</v>
      </c>
      <c r="D1336" t="s">
        <v>20</v>
      </c>
      <c r="E1336" s="17">
        <v>12427.55</v>
      </c>
      <c r="F1336" s="17">
        <v>4279.8599999999997</v>
      </c>
      <c r="G1336" s="17">
        <v>4279.8599999999997</v>
      </c>
    </row>
    <row r="1337" spans="1:7" x14ac:dyDescent="0.3">
      <c r="A1337" t="s">
        <v>44</v>
      </c>
      <c r="B1337" t="s">
        <v>27</v>
      </c>
      <c r="C1337" t="s">
        <v>24</v>
      </c>
      <c r="D1337" t="s">
        <v>21</v>
      </c>
      <c r="E1337" s="17">
        <v>9113.67</v>
      </c>
      <c r="F1337" s="17">
        <v>3465.54</v>
      </c>
      <c r="G1337" s="17">
        <v>3465.54</v>
      </c>
    </row>
    <row r="1338" spans="1:7" x14ac:dyDescent="0.3">
      <c r="A1338" t="s">
        <v>44</v>
      </c>
      <c r="B1338" t="s">
        <v>27</v>
      </c>
      <c r="C1338" t="s">
        <v>25</v>
      </c>
      <c r="D1338" t="s">
        <v>18</v>
      </c>
      <c r="E1338" s="17">
        <v>19035.14</v>
      </c>
      <c r="F1338" s="17">
        <v>4040.2000000000012</v>
      </c>
      <c r="G1338" s="17">
        <v>4040.2</v>
      </c>
    </row>
    <row r="1339" spans="1:7" x14ac:dyDescent="0.3">
      <c r="A1339" t="s">
        <v>44</v>
      </c>
      <c r="B1339" t="s">
        <v>27</v>
      </c>
      <c r="C1339" t="s">
        <v>25</v>
      </c>
      <c r="D1339" t="s">
        <v>19</v>
      </c>
      <c r="E1339" s="17">
        <v>18281.71</v>
      </c>
      <c r="F1339" s="17">
        <v>6753.35</v>
      </c>
      <c r="G1339" s="17">
        <v>6753.35</v>
      </c>
    </row>
    <row r="1340" spans="1:7" x14ac:dyDescent="0.3">
      <c r="A1340" t="s">
        <v>44</v>
      </c>
      <c r="B1340" t="s">
        <v>27</v>
      </c>
      <c r="C1340" t="s">
        <v>25</v>
      </c>
      <c r="D1340" t="s">
        <v>20</v>
      </c>
      <c r="E1340" s="17">
        <v>5768.15</v>
      </c>
      <c r="F1340" s="17">
        <v>2522.4899999999998</v>
      </c>
      <c r="G1340" s="17">
        <v>2522.4899999999998</v>
      </c>
    </row>
    <row r="1341" spans="1:7" x14ac:dyDescent="0.3">
      <c r="A1341" t="s">
        <v>44</v>
      </c>
      <c r="B1341" t="s">
        <v>27</v>
      </c>
      <c r="C1341" t="s">
        <v>25</v>
      </c>
      <c r="D1341" t="s">
        <v>21</v>
      </c>
      <c r="E1341" s="17">
        <v>14029.12</v>
      </c>
      <c r="F1341" s="17">
        <v>5491.09</v>
      </c>
      <c r="G1341" s="17">
        <v>5491.09</v>
      </c>
    </row>
    <row r="1342" spans="1:7" x14ac:dyDescent="0.3">
      <c r="A1342" t="s">
        <v>44</v>
      </c>
      <c r="B1342" t="s">
        <v>28</v>
      </c>
      <c r="C1342" t="s">
        <v>17</v>
      </c>
      <c r="D1342" t="s">
        <v>18</v>
      </c>
      <c r="E1342" s="17">
        <v>18577.61</v>
      </c>
      <c r="F1342" s="17">
        <v>4181.4500000000007</v>
      </c>
      <c r="G1342" s="17">
        <v>4181.45</v>
      </c>
    </row>
    <row r="1343" spans="1:7" x14ac:dyDescent="0.3">
      <c r="A1343" t="s">
        <v>44</v>
      </c>
      <c r="B1343" t="s">
        <v>28</v>
      </c>
      <c r="C1343" t="s">
        <v>17</v>
      </c>
      <c r="D1343" t="s">
        <v>19</v>
      </c>
      <c r="E1343" s="17">
        <v>4919.3999999999996</v>
      </c>
      <c r="F1343" s="17">
        <v>1923.01</v>
      </c>
      <c r="G1343" s="17">
        <v>1923.01</v>
      </c>
    </row>
    <row r="1344" spans="1:7" x14ac:dyDescent="0.3">
      <c r="A1344" t="s">
        <v>44</v>
      </c>
      <c r="B1344" t="s">
        <v>28</v>
      </c>
      <c r="C1344" t="s">
        <v>17</v>
      </c>
      <c r="D1344" t="s">
        <v>20</v>
      </c>
      <c r="E1344" s="17">
        <v>8181.58</v>
      </c>
      <c r="F1344" s="17">
        <v>3430.8</v>
      </c>
      <c r="G1344" s="17">
        <v>3430.8</v>
      </c>
    </row>
    <row r="1345" spans="1:7" x14ac:dyDescent="0.3">
      <c r="A1345" t="s">
        <v>44</v>
      </c>
      <c r="B1345" t="s">
        <v>28</v>
      </c>
      <c r="C1345" t="s">
        <v>17</v>
      </c>
      <c r="D1345" t="s">
        <v>21</v>
      </c>
      <c r="E1345" s="17">
        <v>19742.900000000001</v>
      </c>
      <c r="F1345" s="17">
        <v>3710.2099999999991</v>
      </c>
      <c r="G1345" s="17">
        <v>3710.21</v>
      </c>
    </row>
    <row r="1346" spans="1:7" x14ac:dyDescent="0.3">
      <c r="A1346" t="s">
        <v>44</v>
      </c>
      <c r="B1346" t="s">
        <v>28</v>
      </c>
      <c r="C1346" t="s">
        <v>22</v>
      </c>
      <c r="D1346" t="s">
        <v>18</v>
      </c>
      <c r="E1346" s="17">
        <v>20563.48</v>
      </c>
      <c r="F1346" s="17">
        <v>5211.5</v>
      </c>
      <c r="G1346" s="17">
        <v>5211.5</v>
      </c>
    </row>
    <row r="1347" spans="1:7" x14ac:dyDescent="0.3">
      <c r="A1347" t="s">
        <v>44</v>
      </c>
      <c r="B1347" t="s">
        <v>28</v>
      </c>
      <c r="C1347" t="s">
        <v>22</v>
      </c>
      <c r="D1347" t="s">
        <v>19</v>
      </c>
      <c r="E1347" s="17">
        <v>3469.06</v>
      </c>
      <c r="F1347" s="17">
        <v>1291.6300000000001</v>
      </c>
      <c r="G1347" s="17">
        <v>1291.6300000000001</v>
      </c>
    </row>
    <row r="1348" spans="1:7" x14ac:dyDescent="0.3">
      <c r="A1348" t="s">
        <v>44</v>
      </c>
      <c r="B1348" t="s">
        <v>28</v>
      </c>
      <c r="C1348" t="s">
        <v>22</v>
      </c>
      <c r="D1348" t="s">
        <v>20</v>
      </c>
      <c r="E1348" s="17">
        <v>15262.99</v>
      </c>
      <c r="F1348" s="17">
        <v>3064.940000000001</v>
      </c>
      <c r="G1348" s="17">
        <v>3064.94</v>
      </c>
    </row>
    <row r="1349" spans="1:7" x14ac:dyDescent="0.3">
      <c r="A1349" t="s">
        <v>44</v>
      </c>
      <c r="B1349" t="s">
        <v>28</v>
      </c>
      <c r="C1349" t="s">
        <v>22</v>
      </c>
      <c r="D1349" t="s">
        <v>21</v>
      </c>
      <c r="E1349" s="17">
        <v>12469.55</v>
      </c>
      <c r="F1349" s="17">
        <v>3456.98</v>
      </c>
      <c r="G1349" s="17">
        <v>3456.98</v>
      </c>
    </row>
    <row r="1350" spans="1:7" x14ac:dyDescent="0.3">
      <c r="A1350" t="s">
        <v>44</v>
      </c>
      <c r="B1350" t="s">
        <v>28</v>
      </c>
      <c r="C1350" t="s">
        <v>23</v>
      </c>
      <c r="D1350" t="s">
        <v>18</v>
      </c>
      <c r="E1350" s="17">
        <v>13491.03</v>
      </c>
      <c r="F1350" s="17">
        <v>4493.3099999999986</v>
      </c>
      <c r="G1350" s="17">
        <v>4493.3100000000004</v>
      </c>
    </row>
    <row r="1351" spans="1:7" x14ac:dyDescent="0.3">
      <c r="A1351" t="s">
        <v>44</v>
      </c>
      <c r="B1351" t="s">
        <v>28</v>
      </c>
      <c r="C1351" t="s">
        <v>23</v>
      </c>
      <c r="D1351" t="s">
        <v>19</v>
      </c>
      <c r="E1351" s="17">
        <v>10456.82</v>
      </c>
      <c r="F1351" s="17">
        <v>2602.5100000000002</v>
      </c>
      <c r="G1351" s="17">
        <v>2602.5100000000002</v>
      </c>
    </row>
    <row r="1352" spans="1:7" x14ac:dyDescent="0.3">
      <c r="A1352" t="s">
        <v>44</v>
      </c>
      <c r="B1352" t="s">
        <v>28</v>
      </c>
      <c r="C1352" t="s">
        <v>23</v>
      </c>
      <c r="D1352" t="s">
        <v>20</v>
      </c>
      <c r="E1352" s="17">
        <v>4366.8100000000004</v>
      </c>
      <c r="F1352" s="17">
        <v>1462.69</v>
      </c>
      <c r="G1352" s="17">
        <v>1462.69</v>
      </c>
    </row>
    <row r="1353" spans="1:7" x14ac:dyDescent="0.3">
      <c r="A1353" t="s">
        <v>44</v>
      </c>
      <c r="B1353" t="s">
        <v>28</v>
      </c>
      <c r="C1353" t="s">
        <v>23</v>
      </c>
      <c r="D1353" t="s">
        <v>21</v>
      </c>
      <c r="E1353" s="17">
        <v>18623.900000000001</v>
      </c>
      <c r="F1353" s="17">
        <v>4500.82</v>
      </c>
      <c r="G1353" s="17">
        <v>4500.82</v>
      </c>
    </row>
    <row r="1354" spans="1:7" x14ac:dyDescent="0.3">
      <c r="A1354" t="s">
        <v>44</v>
      </c>
      <c r="B1354" t="s">
        <v>28</v>
      </c>
      <c r="C1354" t="s">
        <v>24</v>
      </c>
      <c r="D1354" t="s">
        <v>18</v>
      </c>
      <c r="E1354" s="17">
        <v>13702.97</v>
      </c>
      <c r="F1354" s="17">
        <v>2629.4699999999989</v>
      </c>
      <c r="G1354" s="17">
        <v>2629.47</v>
      </c>
    </row>
    <row r="1355" spans="1:7" x14ac:dyDescent="0.3">
      <c r="A1355" t="s">
        <v>44</v>
      </c>
      <c r="B1355" t="s">
        <v>28</v>
      </c>
      <c r="C1355" t="s">
        <v>24</v>
      </c>
      <c r="D1355" t="s">
        <v>19</v>
      </c>
      <c r="E1355" s="17">
        <v>21847.360000000001</v>
      </c>
      <c r="F1355" s="17">
        <v>5375.0800000000017</v>
      </c>
      <c r="G1355" s="17">
        <v>5375.08</v>
      </c>
    </row>
    <row r="1356" spans="1:7" x14ac:dyDescent="0.3">
      <c r="A1356" t="s">
        <v>44</v>
      </c>
      <c r="B1356" t="s">
        <v>28</v>
      </c>
      <c r="C1356" t="s">
        <v>24</v>
      </c>
      <c r="D1356" t="s">
        <v>20</v>
      </c>
      <c r="E1356" s="17">
        <v>12850.59</v>
      </c>
      <c r="F1356" s="17">
        <v>3641.91</v>
      </c>
      <c r="G1356" s="17">
        <v>3641.91</v>
      </c>
    </row>
    <row r="1357" spans="1:7" x14ac:dyDescent="0.3">
      <c r="A1357" t="s">
        <v>44</v>
      </c>
      <c r="B1357" t="s">
        <v>28</v>
      </c>
      <c r="C1357" t="s">
        <v>24</v>
      </c>
      <c r="D1357" t="s">
        <v>21</v>
      </c>
      <c r="E1357" s="17">
        <v>5451.95</v>
      </c>
      <c r="F1357" s="17">
        <v>2352.04</v>
      </c>
      <c r="G1357" s="17">
        <v>2352.04</v>
      </c>
    </row>
    <row r="1358" spans="1:7" x14ac:dyDescent="0.3">
      <c r="A1358" t="s">
        <v>44</v>
      </c>
      <c r="B1358" t="s">
        <v>28</v>
      </c>
      <c r="C1358" t="s">
        <v>25</v>
      </c>
      <c r="D1358" t="s">
        <v>18</v>
      </c>
      <c r="E1358" s="17">
        <v>21722.16</v>
      </c>
      <c r="F1358" s="17">
        <v>7152.5299999999988</v>
      </c>
      <c r="G1358" s="17">
        <v>7152.53</v>
      </c>
    </row>
    <row r="1359" spans="1:7" x14ac:dyDescent="0.3">
      <c r="A1359" t="s">
        <v>44</v>
      </c>
      <c r="B1359" t="s">
        <v>28</v>
      </c>
      <c r="C1359" t="s">
        <v>25</v>
      </c>
      <c r="D1359" t="s">
        <v>19</v>
      </c>
      <c r="E1359" s="17">
        <v>23020.799999999999</v>
      </c>
      <c r="F1359" s="17">
        <v>8747.44</v>
      </c>
      <c r="G1359" s="17">
        <v>8747.44</v>
      </c>
    </row>
    <row r="1360" spans="1:7" x14ac:dyDescent="0.3">
      <c r="A1360" t="s">
        <v>44</v>
      </c>
      <c r="B1360" t="s">
        <v>28</v>
      </c>
      <c r="C1360" t="s">
        <v>25</v>
      </c>
      <c r="D1360" t="s">
        <v>20</v>
      </c>
      <c r="E1360" s="17">
        <v>11645.49</v>
      </c>
      <c r="F1360" s="17">
        <v>3108.02</v>
      </c>
      <c r="G1360" s="17">
        <v>3108.02</v>
      </c>
    </row>
    <row r="1361" spans="1:7" x14ac:dyDescent="0.3">
      <c r="A1361" t="s">
        <v>44</v>
      </c>
      <c r="B1361" t="s">
        <v>28</v>
      </c>
      <c r="C1361" t="s">
        <v>25</v>
      </c>
      <c r="D1361" t="s">
        <v>21</v>
      </c>
      <c r="E1361" s="17">
        <v>11573.9</v>
      </c>
      <c r="F1361" s="17">
        <v>4334.17</v>
      </c>
      <c r="G1361" s="17">
        <v>4334.17</v>
      </c>
    </row>
    <row r="1362" spans="1:7" x14ac:dyDescent="0.3">
      <c r="A1362" t="s">
        <v>45</v>
      </c>
      <c r="B1362" t="s">
        <v>16</v>
      </c>
      <c r="C1362" t="s">
        <v>17</v>
      </c>
      <c r="D1362" t="s">
        <v>18</v>
      </c>
      <c r="E1362" s="17">
        <v>8238.93</v>
      </c>
      <c r="F1362" s="17">
        <v>1656.27</v>
      </c>
      <c r="G1362" s="17">
        <v>1656.27</v>
      </c>
    </row>
    <row r="1363" spans="1:7" x14ac:dyDescent="0.3">
      <c r="A1363" t="s">
        <v>45</v>
      </c>
      <c r="B1363" t="s">
        <v>16</v>
      </c>
      <c r="C1363" t="s">
        <v>17</v>
      </c>
      <c r="D1363" t="s">
        <v>19</v>
      </c>
      <c r="E1363" s="17">
        <v>10574.59</v>
      </c>
      <c r="F1363" s="17">
        <v>3336.82</v>
      </c>
      <c r="G1363" s="17">
        <v>3336.82</v>
      </c>
    </row>
    <row r="1364" spans="1:7" x14ac:dyDescent="0.3">
      <c r="A1364" t="s">
        <v>45</v>
      </c>
      <c r="B1364" t="s">
        <v>16</v>
      </c>
      <c r="C1364" t="s">
        <v>17</v>
      </c>
      <c r="D1364" t="s">
        <v>20</v>
      </c>
      <c r="E1364" s="17">
        <v>22744.639999999999</v>
      </c>
      <c r="F1364" s="17">
        <v>5195.4000000000005</v>
      </c>
      <c r="G1364" s="17">
        <v>5195.3999999999996</v>
      </c>
    </row>
    <row r="1365" spans="1:7" x14ac:dyDescent="0.3">
      <c r="A1365" t="s">
        <v>45</v>
      </c>
      <c r="B1365" t="s">
        <v>16</v>
      </c>
      <c r="C1365" t="s">
        <v>17</v>
      </c>
      <c r="D1365" t="s">
        <v>21</v>
      </c>
      <c r="E1365" s="17">
        <v>20499.77</v>
      </c>
      <c r="F1365" s="17">
        <v>9122.02</v>
      </c>
      <c r="G1365" s="17">
        <v>9122.02</v>
      </c>
    </row>
    <row r="1366" spans="1:7" x14ac:dyDescent="0.3">
      <c r="A1366" t="s">
        <v>45</v>
      </c>
      <c r="B1366" t="s">
        <v>16</v>
      </c>
      <c r="C1366" t="s">
        <v>22</v>
      </c>
      <c r="D1366" t="s">
        <v>18</v>
      </c>
      <c r="E1366" s="17">
        <v>23943.83</v>
      </c>
      <c r="F1366" s="17">
        <v>4755.489999999998</v>
      </c>
      <c r="G1366" s="17">
        <v>4755.49</v>
      </c>
    </row>
    <row r="1367" spans="1:7" x14ac:dyDescent="0.3">
      <c r="A1367" t="s">
        <v>45</v>
      </c>
      <c r="B1367" t="s">
        <v>16</v>
      </c>
      <c r="C1367" t="s">
        <v>22</v>
      </c>
      <c r="D1367" t="s">
        <v>19</v>
      </c>
      <c r="E1367" s="17">
        <v>12697.17</v>
      </c>
      <c r="F1367" s="17">
        <v>3253.309999999999</v>
      </c>
      <c r="G1367" s="17">
        <v>3253.31</v>
      </c>
    </row>
    <row r="1368" spans="1:7" x14ac:dyDescent="0.3">
      <c r="A1368" t="s">
        <v>45</v>
      </c>
      <c r="B1368" t="s">
        <v>16</v>
      </c>
      <c r="C1368" t="s">
        <v>22</v>
      </c>
      <c r="D1368" t="s">
        <v>20</v>
      </c>
      <c r="E1368" s="17">
        <v>21431.47</v>
      </c>
      <c r="F1368" s="17">
        <v>5751.59</v>
      </c>
      <c r="G1368" s="17">
        <v>5751.59</v>
      </c>
    </row>
    <row r="1369" spans="1:7" x14ac:dyDescent="0.3">
      <c r="A1369" t="s">
        <v>45</v>
      </c>
      <c r="B1369" t="s">
        <v>16</v>
      </c>
      <c r="C1369" t="s">
        <v>22</v>
      </c>
      <c r="D1369" t="s">
        <v>21</v>
      </c>
      <c r="E1369" s="17">
        <v>14721.1</v>
      </c>
      <c r="F1369" s="17">
        <v>2681.4699999999989</v>
      </c>
      <c r="G1369" s="17">
        <v>2681.47</v>
      </c>
    </row>
    <row r="1370" spans="1:7" x14ac:dyDescent="0.3">
      <c r="A1370" t="s">
        <v>45</v>
      </c>
      <c r="B1370" t="s">
        <v>16</v>
      </c>
      <c r="C1370" t="s">
        <v>23</v>
      </c>
      <c r="D1370" t="s">
        <v>18</v>
      </c>
      <c r="E1370" s="17">
        <v>6615.44</v>
      </c>
      <c r="F1370" s="17">
        <v>2197.83</v>
      </c>
      <c r="G1370" s="17">
        <v>2197.83</v>
      </c>
    </row>
    <row r="1371" spans="1:7" x14ac:dyDescent="0.3">
      <c r="A1371" t="s">
        <v>45</v>
      </c>
      <c r="B1371" t="s">
        <v>16</v>
      </c>
      <c r="C1371" t="s">
        <v>23</v>
      </c>
      <c r="D1371" t="s">
        <v>19</v>
      </c>
      <c r="E1371" s="17">
        <v>8989.91</v>
      </c>
      <c r="F1371" s="17">
        <v>3129.690000000001</v>
      </c>
      <c r="G1371" s="17">
        <v>3129.69</v>
      </c>
    </row>
    <row r="1372" spans="1:7" x14ac:dyDescent="0.3">
      <c r="A1372" t="s">
        <v>45</v>
      </c>
      <c r="B1372" t="s">
        <v>16</v>
      </c>
      <c r="C1372" t="s">
        <v>23</v>
      </c>
      <c r="D1372" t="s">
        <v>20</v>
      </c>
      <c r="E1372" s="17">
        <v>12670.31</v>
      </c>
      <c r="F1372" s="17">
        <v>4304.82</v>
      </c>
      <c r="G1372" s="17">
        <v>4304.82</v>
      </c>
    </row>
    <row r="1373" spans="1:7" x14ac:dyDescent="0.3">
      <c r="A1373" t="s">
        <v>45</v>
      </c>
      <c r="B1373" t="s">
        <v>16</v>
      </c>
      <c r="C1373" t="s">
        <v>23</v>
      </c>
      <c r="D1373" t="s">
        <v>21</v>
      </c>
      <c r="E1373" s="17">
        <v>13347.3</v>
      </c>
      <c r="F1373" s="17">
        <v>5186.84</v>
      </c>
      <c r="G1373" s="17">
        <v>5186.84</v>
      </c>
    </row>
    <row r="1374" spans="1:7" x14ac:dyDescent="0.3">
      <c r="A1374" t="s">
        <v>45</v>
      </c>
      <c r="B1374" t="s">
        <v>16</v>
      </c>
      <c r="C1374" t="s">
        <v>24</v>
      </c>
      <c r="D1374" t="s">
        <v>18</v>
      </c>
      <c r="E1374" s="17">
        <v>6494.72</v>
      </c>
      <c r="F1374" s="17">
        <v>2748.04</v>
      </c>
      <c r="G1374" s="17">
        <v>2748.04</v>
      </c>
    </row>
    <row r="1375" spans="1:7" x14ac:dyDescent="0.3">
      <c r="A1375" t="s">
        <v>45</v>
      </c>
      <c r="B1375" t="s">
        <v>16</v>
      </c>
      <c r="C1375" t="s">
        <v>24</v>
      </c>
      <c r="D1375" t="s">
        <v>19</v>
      </c>
      <c r="E1375" s="17">
        <v>19491.09</v>
      </c>
      <c r="F1375" s="17">
        <v>4798.3999999999996</v>
      </c>
      <c r="G1375" s="17">
        <v>4798.3999999999996</v>
      </c>
    </row>
    <row r="1376" spans="1:7" x14ac:dyDescent="0.3">
      <c r="A1376" t="s">
        <v>45</v>
      </c>
      <c r="B1376" t="s">
        <v>16</v>
      </c>
      <c r="C1376" t="s">
        <v>24</v>
      </c>
      <c r="D1376" t="s">
        <v>20</v>
      </c>
      <c r="E1376" s="17">
        <v>2146.69</v>
      </c>
      <c r="F1376" s="17">
        <v>624.05999999999995</v>
      </c>
      <c r="G1376" s="17">
        <v>624.05999999999995</v>
      </c>
    </row>
    <row r="1377" spans="1:7" x14ac:dyDescent="0.3">
      <c r="A1377" t="s">
        <v>45</v>
      </c>
      <c r="B1377" t="s">
        <v>16</v>
      </c>
      <c r="C1377" t="s">
        <v>24</v>
      </c>
      <c r="D1377" t="s">
        <v>21</v>
      </c>
      <c r="E1377" s="17">
        <v>7358.95</v>
      </c>
      <c r="F1377" s="17">
        <v>2012.93</v>
      </c>
      <c r="G1377" s="17">
        <v>2012.93</v>
      </c>
    </row>
    <row r="1378" spans="1:7" x14ac:dyDescent="0.3">
      <c r="A1378" t="s">
        <v>45</v>
      </c>
      <c r="B1378" t="s">
        <v>16</v>
      </c>
      <c r="C1378" t="s">
        <v>25</v>
      </c>
      <c r="D1378" t="s">
        <v>18</v>
      </c>
      <c r="E1378" s="17">
        <v>21310.2</v>
      </c>
      <c r="F1378" s="17">
        <v>8883.02</v>
      </c>
      <c r="G1378" s="17">
        <v>8883.02</v>
      </c>
    </row>
    <row r="1379" spans="1:7" x14ac:dyDescent="0.3">
      <c r="A1379" t="s">
        <v>45</v>
      </c>
      <c r="B1379" t="s">
        <v>16</v>
      </c>
      <c r="C1379" t="s">
        <v>25</v>
      </c>
      <c r="D1379" t="s">
        <v>19</v>
      </c>
      <c r="E1379" s="17">
        <v>23872.78</v>
      </c>
      <c r="F1379" s="17">
        <v>4306.5200000000004</v>
      </c>
      <c r="G1379" s="17">
        <v>4306.5200000000004</v>
      </c>
    </row>
    <row r="1380" spans="1:7" x14ac:dyDescent="0.3">
      <c r="A1380" t="s">
        <v>45</v>
      </c>
      <c r="B1380" t="s">
        <v>16</v>
      </c>
      <c r="C1380" t="s">
        <v>25</v>
      </c>
      <c r="D1380" t="s">
        <v>20</v>
      </c>
      <c r="E1380" s="17">
        <v>17117.990000000002</v>
      </c>
      <c r="F1380" s="17">
        <v>7005.2200000000012</v>
      </c>
      <c r="G1380" s="17">
        <v>7005.22</v>
      </c>
    </row>
    <row r="1381" spans="1:7" x14ac:dyDescent="0.3">
      <c r="A1381" t="s">
        <v>45</v>
      </c>
      <c r="B1381" t="s">
        <v>16</v>
      </c>
      <c r="C1381" t="s">
        <v>25</v>
      </c>
      <c r="D1381" t="s">
        <v>21</v>
      </c>
      <c r="E1381" s="17">
        <v>18725.95</v>
      </c>
      <c r="F1381" s="17">
        <v>3896.24</v>
      </c>
      <c r="G1381" s="17">
        <v>3896.24</v>
      </c>
    </row>
    <row r="1382" spans="1:7" x14ac:dyDescent="0.3">
      <c r="A1382" t="s">
        <v>45</v>
      </c>
      <c r="B1382" t="s">
        <v>26</v>
      </c>
      <c r="C1382" t="s">
        <v>17</v>
      </c>
      <c r="D1382" t="s">
        <v>18</v>
      </c>
      <c r="E1382" s="17">
        <v>14185.73</v>
      </c>
      <c r="F1382" s="17">
        <v>3465.65</v>
      </c>
      <c r="G1382" s="17">
        <v>3465.65</v>
      </c>
    </row>
    <row r="1383" spans="1:7" x14ac:dyDescent="0.3">
      <c r="A1383" t="s">
        <v>45</v>
      </c>
      <c r="B1383" t="s">
        <v>26</v>
      </c>
      <c r="C1383" t="s">
        <v>17</v>
      </c>
      <c r="D1383" t="s">
        <v>19</v>
      </c>
      <c r="E1383" s="17">
        <v>13316.66</v>
      </c>
      <c r="F1383" s="17">
        <v>2612.35</v>
      </c>
      <c r="G1383" s="17">
        <v>2612.35</v>
      </c>
    </row>
    <row r="1384" spans="1:7" x14ac:dyDescent="0.3">
      <c r="A1384" t="s">
        <v>45</v>
      </c>
      <c r="B1384" t="s">
        <v>26</v>
      </c>
      <c r="C1384" t="s">
        <v>17</v>
      </c>
      <c r="D1384" t="s">
        <v>20</v>
      </c>
      <c r="E1384" s="17">
        <v>24930.06</v>
      </c>
      <c r="F1384" s="17">
        <v>9277.6299999999992</v>
      </c>
      <c r="G1384" s="17">
        <v>9277.6299999999992</v>
      </c>
    </row>
    <row r="1385" spans="1:7" x14ac:dyDescent="0.3">
      <c r="A1385" t="s">
        <v>45</v>
      </c>
      <c r="B1385" t="s">
        <v>26</v>
      </c>
      <c r="C1385" t="s">
        <v>17</v>
      </c>
      <c r="D1385" t="s">
        <v>21</v>
      </c>
      <c r="E1385" s="17">
        <v>4139.6099999999997</v>
      </c>
      <c r="F1385" s="17">
        <v>1774.83</v>
      </c>
      <c r="G1385" s="17">
        <v>1774.83</v>
      </c>
    </row>
    <row r="1386" spans="1:7" x14ac:dyDescent="0.3">
      <c r="A1386" t="s">
        <v>45</v>
      </c>
      <c r="B1386" t="s">
        <v>26</v>
      </c>
      <c r="C1386" t="s">
        <v>22</v>
      </c>
      <c r="D1386" t="s">
        <v>18</v>
      </c>
      <c r="E1386" s="17">
        <v>22637.61</v>
      </c>
      <c r="F1386" s="17">
        <v>7251.619999999999</v>
      </c>
      <c r="G1386" s="17">
        <v>7251.62</v>
      </c>
    </row>
    <row r="1387" spans="1:7" x14ac:dyDescent="0.3">
      <c r="A1387" t="s">
        <v>45</v>
      </c>
      <c r="B1387" t="s">
        <v>26</v>
      </c>
      <c r="C1387" t="s">
        <v>22</v>
      </c>
      <c r="D1387" t="s">
        <v>19</v>
      </c>
      <c r="E1387" s="17">
        <v>18119.48</v>
      </c>
      <c r="F1387" s="17">
        <v>5083.83</v>
      </c>
      <c r="G1387" s="17">
        <v>5083.83</v>
      </c>
    </row>
    <row r="1388" spans="1:7" x14ac:dyDescent="0.3">
      <c r="A1388" t="s">
        <v>45</v>
      </c>
      <c r="B1388" t="s">
        <v>26</v>
      </c>
      <c r="C1388" t="s">
        <v>22</v>
      </c>
      <c r="D1388" t="s">
        <v>20</v>
      </c>
      <c r="E1388" s="17">
        <v>24414.76</v>
      </c>
      <c r="F1388" s="17">
        <v>4954.3299999999981</v>
      </c>
      <c r="G1388" s="17">
        <v>4954.33</v>
      </c>
    </row>
    <row r="1389" spans="1:7" x14ac:dyDescent="0.3">
      <c r="A1389" t="s">
        <v>45</v>
      </c>
      <c r="B1389" t="s">
        <v>26</v>
      </c>
      <c r="C1389" t="s">
        <v>22</v>
      </c>
      <c r="D1389" t="s">
        <v>21</v>
      </c>
      <c r="E1389" s="17">
        <v>4198.2700000000004</v>
      </c>
      <c r="F1389" s="17">
        <v>907.02999999999975</v>
      </c>
      <c r="G1389" s="17">
        <v>907.03</v>
      </c>
    </row>
    <row r="1390" spans="1:7" x14ac:dyDescent="0.3">
      <c r="A1390" t="s">
        <v>45</v>
      </c>
      <c r="B1390" t="s">
        <v>26</v>
      </c>
      <c r="C1390" t="s">
        <v>23</v>
      </c>
      <c r="D1390" t="s">
        <v>18</v>
      </c>
      <c r="E1390" s="17">
        <v>20859.150000000001</v>
      </c>
      <c r="F1390" s="17">
        <v>4176.09</v>
      </c>
      <c r="G1390" s="17">
        <v>4176.09</v>
      </c>
    </row>
    <row r="1391" spans="1:7" x14ac:dyDescent="0.3">
      <c r="A1391" t="s">
        <v>45</v>
      </c>
      <c r="B1391" t="s">
        <v>26</v>
      </c>
      <c r="C1391" t="s">
        <v>23</v>
      </c>
      <c r="D1391" t="s">
        <v>19</v>
      </c>
      <c r="E1391" s="17">
        <v>15059.88</v>
      </c>
      <c r="F1391" s="17">
        <v>4479.49</v>
      </c>
      <c r="G1391" s="17">
        <v>4479.49</v>
      </c>
    </row>
    <row r="1392" spans="1:7" x14ac:dyDescent="0.3">
      <c r="A1392" t="s">
        <v>45</v>
      </c>
      <c r="B1392" t="s">
        <v>26</v>
      </c>
      <c r="C1392" t="s">
        <v>23</v>
      </c>
      <c r="D1392" t="s">
        <v>20</v>
      </c>
      <c r="E1392" s="17">
        <v>24177.02</v>
      </c>
      <c r="F1392" s="17">
        <v>5897.4599999999991</v>
      </c>
      <c r="G1392" s="17">
        <v>5897.46</v>
      </c>
    </row>
    <row r="1393" spans="1:7" x14ac:dyDescent="0.3">
      <c r="A1393" t="s">
        <v>45</v>
      </c>
      <c r="B1393" t="s">
        <v>26</v>
      </c>
      <c r="C1393" t="s">
        <v>23</v>
      </c>
      <c r="D1393" t="s">
        <v>21</v>
      </c>
      <c r="E1393" s="17">
        <v>8002.79</v>
      </c>
      <c r="F1393" s="17">
        <v>2121.16</v>
      </c>
      <c r="G1393" s="17">
        <v>2121.16</v>
      </c>
    </row>
    <row r="1394" spans="1:7" x14ac:dyDescent="0.3">
      <c r="A1394" t="s">
        <v>45</v>
      </c>
      <c r="B1394" t="s">
        <v>26</v>
      </c>
      <c r="C1394" t="s">
        <v>24</v>
      </c>
      <c r="D1394" t="s">
        <v>18</v>
      </c>
      <c r="E1394" s="17">
        <v>20418.79</v>
      </c>
      <c r="F1394" s="17">
        <v>7538.5299999999988</v>
      </c>
      <c r="G1394" s="17">
        <v>7538.53</v>
      </c>
    </row>
    <row r="1395" spans="1:7" x14ac:dyDescent="0.3">
      <c r="A1395" t="s">
        <v>45</v>
      </c>
      <c r="B1395" t="s">
        <v>26</v>
      </c>
      <c r="C1395" t="s">
        <v>24</v>
      </c>
      <c r="D1395" t="s">
        <v>19</v>
      </c>
      <c r="E1395" s="17">
        <v>18913.12</v>
      </c>
      <c r="F1395" s="17">
        <v>5028.5400000000009</v>
      </c>
      <c r="G1395" s="17">
        <v>5028.54</v>
      </c>
    </row>
    <row r="1396" spans="1:7" x14ac:dyDescent="0.3">
      <c r="A1396" t="s">
        <v>45</v>
      </c>
      <c r="B1396" t="s">
        <v>26</v>
      </c>
      <c r="C1396" t="s">
        <v>24</v>
      </c>
      <c r="D1396" t="s">
        <v>20</v>
      </c>
      <c r="E1396" s="17">
        <v>8254.99</v>
      </c>
      <c r="F1396" s="17">
        <v>1652.37</v>
      </c>
      <c r="G1396" s="17">
        <v>1652.37</v>
      </c>
    </row>
    <row r="1397" spans="1:7" x14ac:dyDescent="0.3">
      <c r="A1397" t="s">
        <v>45</v>
      </c>
      <c r="B1397" t="s">
        <v>26</v>
      </c>
      <c r="C1397" t="s">
        <v>24</v>
      </c>
      <c r="D1397" t="s">
        <v>21</v>
      </c>
      <c r="E1397" s="17">
        <v>6662.39</v>
      </c>
      <c r="F1397" s="17">
        <v>2602.2199999999998</v>
      </c>
      <c r="G1397" s="17">
        <v>2602.2199999999998</v>
      </c>
    </row>
    <row r="1398" spans="1:7" x14ac:dyDescent="0.3">
      <c r="A1398" t="s">
        <v>45</v>
      </c>
      <c r="B1398" t="s">
        <v>26</v>
      </c>
      <c r="C1398" t="s">
        <v>25</v>
      </c>
      <c r="D1398" t="s">
        <v>18</v>
      </c>
      <c r="E1398" s="17">
        <v>15448.28</v>
      </c>
      <c r="F1398" s="17">
        <v>3428.91</v>
      </c>
      <c r="G1398" s="17">
        <v>3428.91</v>
      </c>
    </row>
    <row r="1399" spans="1:7" x14ac:dyDescent="0.3">
      <c r="A1399" t="s">
        <v>45</v>
      </c>
      <c r="B1399" t="s">
        <v>26</v>
      </c>
      <c r="C1399" t="s">
        <v>25</v>
      </c>
      <c r="D1399" t="s">
        <v>19</v>
      </c>
      <c r="E1399" s="17">
        <v>5780.62</v>
      </c>
      <c r="F1399" s="17">
        <v>1767.92</v>
      </c>
      <c r="G1399" s="17">
        <v>1767.92</v>
      </c>
    </row>
    <row r="1400" spans="1:7" x14ac:dyDescent="0.3">
      <c r="A1400" t="s">
        <v>45</v>
      </c>
      <c r="B1400" t="s">
        <v>26</v>
      </c>
      <c r="C1400" t="s">
        <v>25</v>
      </c>
      <c r="D1400" t="s">
        <v>20</v>
      </c>
      <c r="E1400" s="17">
        <v>11349.79</v>
      </c>
      <c r="F1400" s="17">
        <v>3685.27</v>
      </c>
      <c r="G1400" s="17">
        <v>3685.27</v>
      </c>
    </row>
    <row r="1401" spans="1:7" x14ac:dyDescent="0.3">
      <c r="A1401" t="s">
        <v>45</v>
      </c>
      <c r="B1401" t="s">
        <v>26</v>
      </c>
      <c r="C1401" t="s">
        <v>25</v>
      </c>
      <c r="D1401" t="s">
        <v>21</v>
      </c>
      <c r="E1401" s="17">
        <v>24186.6</v>
      </c>
      <c r="F1401" s="17">
        <v>5709.5299999999988</v>
      </c>
      <c r="G1401" s="17">
        <v>5709.53</v>
      </c>
    </row>
    <row r="1402" spans="1:7" x14ac:dyDescent="0.3">
      <c r="A1402" t="s">
        <v>45</v>
      </c>
      <c r="B1402" t="s">
        <v>27</v>
      </c>
      <c r="C1402" t="s">
        <v>17</v>
      </c>
      <c r="D1402" t="s">
        <v>18</v>
      </c>
      <c r="E1402" s="17">
        <v>9091.08</v>
      </c>
      <c r="F1402" s="17">
        <v>2286.88</v>
      </c>
      <c r="G1402" s="17">
        <v>2286.88</v>
      </c>
    </row>
    <row r="1403" spans="1:7" x14ac:dyDescent="0.3">
      <c r="A1403" t="s">
        <v>45</v>
      </c>
      <c r="B1403" t="s">
        <v>27</v>
      </c>
      <c r="C1403" t="s">
        <v>17</v>
      </c>
      <c r="D1403" t="s">
        <v>19</v>
      </c>
      <c r="E1403" s="17">
        <v>4758.01</v>
      </c>
      <c r="F1403" s="17">
        <v>1058.92</v>
      </c>
      <c r="G1403" s="17">
        <v>1058.92</v>
      </c>
    </row>
    <row r="1404" spans="1:7" x14ac:dyDescent="0.3">
      <c r="A1404" t="s">
        <v>45</v>
      </c>
      <c r="B1404" t="s">
        <v>27</v>
      </c>
      <c r="C1404" t="s">
        <v>17</v>
      </c>
      <c r="D1404" t="s">
        <v>20</v>
      </c>
      <c r="E1404" s="17">
        <v>17779.259999999998</v>
      </c>
      <c r="F1404" s="17">
        <v>7167.25</v>
      </c>
      <c r="G1404" s="17">
        <v>7167.25</v>
      </c>
    </row>
    <row r="1405" spans="1:7" x14ac:dyDescent="0.3">
      <c r="A1405" t="s">
        <v>45</v>
      </c>
      <c r="B1405" t="s">
        <v>27</v>
      </c>
      <c r="C1405" t="s">
        <v>17</v>
      </c>
      <c r="D1405" t="s">
        <v>21</v>
      </c>
      <c r="E1405" s="17">
        <v>18028.189999999999</v>
      </c>
      <c r="F1405" s="17">
        <v>3441.380000000001</v>
      </c>
      <c r="G1405" s="17">
        <v>3441.38</v>
      </c>
    </row>
    <row r="1406" spans="1:7" x14ac:dyDescent="0.3">
      <c r="A1406" t="s">
        <v>45</v>
      </c>
      <c r="B1406" t="s">
        <v>27</v>
      </c>
      <c r="C1406" t="s">
        <v>22</v>
      </c>
      <c r="D1406" t="s">
        <v>18</v>
      </c>
      <c r="E1406" s="17">
        <v>21226.27</v>
      </c>
      <c r="F1406" s="17">
        <v>5699.34</v>
      </c>
      <c r="G1406" s="17">
        <v>5699.34</v>
      </c>
    </row>
    <row r="1407" spans="1:7" x14ac:dyDescent="0.3">
      <c r="A1407" t="s">
        <v>45</v>
      </c>
      <c r="B1407" t="s">
        <v>27</v>
      </c>
      <c r="C1407" t="s">
        <v>22</v>
      </c>
      <c r="D1407" t="s">
        <v>19</v>
      </c>
      <c r="E1407" s="17">
        <v>4097.8999999999996</v>
      </c>
      <c r="F1407" s="17">
        <v>1012.26</v>
      </c>
      <c r="G1407" s="17">
        <v>1012.26</v>
      </c>
    </row>
    <row r="1408" spans="1:7" x14ac:dyDescent="0.3">
      <c r="A1408" t="s">
        <v>45</v>
      </c>
      <c r="B1408" t="s">
        <v>27</v>
      </c>
      <c r="C1408" t="s">
        <v>22</v>
      </c>
      <c r="D1408" t="s">
        <v>20</v>
      </c>
      <c r="E1408" s="17">
        <v>10182.08</v>
      </c>
      <c r="F1408" s="17">
        <v>3244.360000000001</v>
      </c>
      <c r="G1408" s="17">
        <v>3244.36</v>
      </c>
    </row>
    <row r="1409" spans="1:7" x14ac:dyDescent="0.3">
      <c r="A1409" t="s">
        <v>45</v>
      </c>
      <c r="B1409" t="s">
        <v>27</v>
      </c>
      <c r="C1409" t="s">
        <v>22</v>
      </c>
      <c r="D1409" t="s">
        <v>21</v>
      </c>
      <c r="E1409" s="17">
        <v>17575.22</v>
      </c>
      <c r="F1409" s="17">
        <v>4398.1100000000006</v>
      </c>
      <c r="G1409" s="17">
        <v>4398.1099999999997</v>
      </c>
    </row>
    <row r="1410" spans="1:7" x14ac:dyDescent="0.3">
      <c r="A1410" t="s">
        <v>45</v>
      </c>
      <c r="B1410" t="s">
        <v>27</v>
      </c>
      <c r="C1410" t="s">
        <v>23</v>
      </c>
      <c r="D1410" t="s">
        <v>18</v>
      </c>
      <c r="E1410" s="17">
        <v>24785.56</v>
      </c>
      <c r="F1410" s="17">
        <v>4669.41</v>
      </c>
      <c r="G1410" s="17">
        <v>4669.41</v>
      </c>
    </row>
    <row r="1411" spans="1:7" x14ac:dyDescent="0.3">
      <c r="A1411" t="s">
        <v>45</v>
      </c>
      <c r="B1411" t="s">
        <v>27</v>
      </c>
      <c r="C1411" t="s">
        <v>23</v>
      </c>
      <c r="D1411" t="s">
        <v>19</v>
      </c>
      <c r="E1411" s="17">
        <v>11301.02</v>
      </c>
      <c r="F1411" s="17">
        <v>3413.9699999999989</v>
      </c>
      <c r="G1411" s="17">
        <v>3413.97</v>
      </c>
    </row>
    <row r="1412" spans="1:7" x14ac:dyDescent="0.3">
      <c r="A1412" t="s">
        <v>45</v>
      </c>
      <c r="B1412" t="s">
        <v>27</v>
      </c>
      <c r="C1412" t="s">
        <v>23</v>
      </c>
      <c r="D1412" t="s">
        <v>20</v>
      </c>
      <c r="E1412" s="17">
        <v>19205.8</v>
      </c>
      <c r="F1412" s="17">
        <v>4752.67</v>
      </c>
      <c r="G1412" s="17">
        <v>4752.67</v>
      </c>
    </row>
    <row r="1413" spans="1:7" x14ac:dyDescent="0.3">
      <c r="A1413" t="s">
        <v>45</v>
      </c>
      <c r="B1413" t="s">
        <v>27</v>
      </c>
      <c r="C1413" t="s">
        <v>23</v>
      </c>
      <c r="D1413" t="s">
        <v>21</v>
      </c>
      <c r="E1413" s="17">
        <v>12626.99</v>
      </c>
      <c r="F1413" s="17">
        <v>5013.57</v>
      </c>
      <c r="G1413" s="17">
        <v>5013.57</v>
      </c>
    </row>
    <row r="1414" spans="1:7" x14ac:dyDescent="0.3">
      <c r="A1414" t="s">
        <v>45</v>
      </c>
      <c r="B1414" t="s">
        <v>27</v>
      </c>
      <c r="C1414" t="s">
        <v>24</v>
      </c>
      <c r="D1414" t="s">
        <v>18</v>
      </c>
      <c r="E1414" s="17">
        <v>5215.24</v>
      </c>
      <c r="F1414" s="17">
        <v>955.57999999999993</v>
      </c>
      <c r="G1414" s="17">
        <v>955.58</v>
      </c>
    </row>
    <row r="1415" spans="1:7" x14ac:dyDescent="0.3">
      <c r="A1415" t="s">
        <v>45</v>
      </c>
      <c r="B1415" t="s">
        <v>27</v>
      </c>
      <c r="C1415" t="s">
        <v>24</v>
      </c>
      <c r="D1415" t="s">
        <v>19</v>
      </c>
      <c r="E1415" s="17">
        <v>21098.560000000001</v>
      </c>
      <c r="F1415" s="17">
        <v>9395.0400000000009</v>
      </c>
      <c r="G1415" s="17">
        <v>9395.0400000000009</v>
      </c>
    </row>
    <row r="1416" spans="1:7" x14ac:dyDescent="0.3">
      <c r="A1416" t="s">
        <v>45</v>
      </c>
      <c r="B1416" t="s">
        <v>27</v>
      </c>
      <c r="C1416" t="s">
        <v>24</v>
      </c>
      <c r="D1416" t="s">
        <v>20</v>
      </c>
      <c r="E1416" s="17">
        <v>5006.45</v>
      </c>
      <c r="F1416" s="17">
        <v>2014.55</v>
      </c>
      <c r="G1416" s="17">
        <v>2014.55</v>
      </c>
    </row>
    <row r="1417" spans="1:7" x14ac:dyDescent="0.3">
      <c r="A1417" t="s">
        <v>45</v>
      </c>
      <c r="B1417" t="s">
        <v>27</v>
      </c>
      <c r="C1417" t="s">
        <v>24</v>
      </c>
      <c r="D1417" t="s">
        <v>21</v>
      </c>
      <c r="E1417" s="17">
        <v>10561.51</v>
      </c>
      <c r="F1417" s="17">
        <v>3698.43</v>
      </c>
      <c r="G1417" s="17">
        <v>3698.43</v>
      </c>
    </row>
    <row r="1418" spans="1:7" x14ac:dyDescent="0.3">
      <c r="A1418" t="s">
        <v>45</v>
      </c>
      <c r="B1418" t="s">
        <v>27</v>
      </c>
      <c r="C1418" t="s">
        <v>25</v>
      </c>
      <c r="D1418" t="s">
        <v>18</v>
      </c>
      <c r="E1418" s="17">
        <v>16827.759999999998</v>
      </c>
      <c r="F1418" s="17">
        <v>5674.7799999999988</v>
      </c>
      <c r="G1418" s="17">
        <v>5674.78</v>
      </c>
    </row>
    <row r="1419" spans="1:7" x14ac:dyDescent="0.3">
      <c r="A1419" t="s">
        <v>45</v>
      </c>
      <c r="B1419" t="s">
        <v>27</v>
      </c>
      <c r="C1419" t="s">
        <v>25</v>
      </c>
      <c r="D1419" t="s">
        <v>19</v>
      </c>
      <c r="E1419" s="17">
        <v>7952.88</v>
      </c>
      <c r="F1419" s="17">
        <v>3176.71</v>
      </c>
      <c r="G1419" s="17">
        <v>3176.71</v>
      </c>
    </row>
    <row r="1420" spans="1:7" x14ac:dyDescent="0.3">
      <c r="A1420" t="s">
        <v>45</v>
      </c>
      <c r="B1420" t="s">
        <v>27</v>
      </c>
      <c r="C1420" t="s">
        <v>25</v>
      </c>
      <c r="D1420" t="s">
        <v>20</v>
      </c>
      <c r="E1420" s="17">
        <v>2501.4</v>
      </c>
      <c r="F1420" s="17">
        <v>493.79</v>
      </c>
      <c r="G1420" s="17">
        <v>493.79</v>
      </c>
    </row>
    <row r="1421" spans="1:7" x14ac:dyDescent="0.3">
      <c r="A1421" t="s">
        <v>45</v>
      </c>
      <c r="B1421" t="s">
        <v>27</v>
      </c>
      <c r="C1421" t="s">
        <v>25</v>
      </c>
      <c r="D1421" t="s">
        <v>21</v>
      </c>
      <c r="E1421" s="17">
        <v>22757.41</v>
      </c>
      <c r="F1421" s="17">
        <v>6821</v>
      </c>
      <c r="G1421" s="17">
        <v>6821</v>
      </c>
    </row>
    <row r="1422" spans="1:7" x14ac:dyDescent="0.3">
      <c r="A1422" t="s">
        <v>45</v>
      </c>
      <c r="B1422" t="s">
        <v>28</v>
      </c>
      <c r="C1422" t="s">
        <v>17</v>
      </c>
      <c r="D1422" t="s">
        <v>18</v>
      </c>
      <c r="E1422" s="17">
        <v>4962.21</v>
      </c>
      <c r="F1422" s="17">
        <v>2105.8200000000002</v>
      </c>
      <c r="G1422" s="17">
        <v>2105.8200000000002</v>
      </c>
    </row>
    <row r="1423" spans="1:7" x14ac:dyDescent="0.3">
      <c r="A1423" t="s">
        <v>45</v>
      </c>
      <c r="B1423" t="s">
        <v>28</v>
      </c>
      <c r="C1423" t="s">
        <v>17</v>
      </c>
      <c r="D1423" t="s">
        <v>19</v>
      </c>
      <c r="E1423" s="17">
        <v>21075.19</v>
      </c>
      <c r="F1423" s="17">
        <v>5680.15</v>
      </c>
      <c r="G1423" s="17">
        <v>5680.15</v>
      </c>
    </row>
    <row r="1424" spans="1:7" x14ac:dyDescent="0.3">
      <c r="A1424" t="s">
        <v>45</v>
      </c>
      <c r="B1424" t="s">
        <v>28</v>
      </c>
      <c r="C1424" t="s">
        <v>17</v>
      </c>
      <c r="D1424" t="s">
        <v>20</v>
      </c>
      <c r="E1424" s="17">
        <v>2982.02</v>
      </c>
      <c r="F1424" s="17">
        <v>907.92999999999984</v>
      </c>
      <c r="G1424" s="17">
        <v>907.93</v>
      </c>
    </row>
    <row r="1425" spans="1:7" x14ac:dyDescent="0.3">
      <c r="A1425" t="s">
        <v>45</v>
      </c>
      <c r="B1425" t="s">
        <v>28</v>
      </c>
      <c r="C1425" t="s">
        <v>17</v>
      </c>
      <c r="D1425" t="s">
        <v>21</v>
      </c>
      <c r="E1425" s="17">
        <v>5863.75</v>
      </c>
      <c r="F1425" s="17">
        <v>1964.06</v>
      </c>
      <c r="G1425" s="17">
        <v>1964.06</v>
      </c>
    </row>
    <row r="1426" spans="1:7" x14ac:dyDescent="0.3">
      <c r="A1426" t="s">
        <v>45</v>
      </c>
      <c r="B1426" t="s">
        <v>28</v>
      </c>
      <c r="C1426" t="s">
        <v>22</v>
      </c>
      <c r="D1426" t="s">
        <v>18</v>
      </c>
      <c r="E1426" s="17">
        <v>20898.759999999998</v>
      </c>
      <c r="F1426" s="17">
        <v>5990.619999999999</v>
      </c>
      <c r="G1426" s="17">
        <v>5990.62</v>
      </c>
    </row>
    <row r="1427" spans="1:7" x14ac:dyDescent="0.3">
      <c r="A1427" t="s">
        <v>45</v>
      </c>
      <c r="B1427" t="s">
        <v>28</v>
      </c>
      <c r="C1427" t="s">
        <v>22</v>
      </c>
      <c r="D1427" t="s">
        <v>19</v>
      </c>
      <c r="E1427" s="17">
        <v>2678.09</v>
      </c>
      <c r="F1427" s="17">
        <v>976.07999999999993</v>
      </c>
      <c r="G1427" s="17">
        <v>976.08</v>
      </c>
    </row>
    <row r="1428" spans="1:7" x14ac:dyDescent="0.3">
      <c r="A1428" t="s">
        <v>45</v>
      </c>
      <c r="B1428" t="s">
        <v>28</v>
      </c>
      <c r="C1428" t="s">
        <v>22</v>
      </c>
      <c r="D1428" t="s">
        <v>20</v>
      </c>
      <c r="E1428" s="17">
        <v>5974.57</v>
      </c>
      <c r="F1428" s="17">
        <v>1421.79</v>
      </c>
      <c r="G1428" s="17">
        <v>1421.79</v>
      </c>
    </row>
    <row r="1429" spans="1:7" x14ac:dyDescent="0.3">
      <c r="A1429" t="s">
        <v>45</v>
      </c>
      <c r="B1429" t="s">
        <v>28</v>
      </c>
      <c r="C1429" t="s">
        <v>22</v>
      </c>
      <c r="D1429" t="s">
        <v>21</v>
      </c>
      <c r="E1429" s="17">
        <v>6304.48</v>
      </c>
      <c r="F1429" s="17">
        <v>1611.18</v>
      </c>
      <c r="G1429" s="17">
        <v>1611.18</v>
      </c>
    </row>
    <row r="1430" spans="1:7" x14ac:dyDescent="0.3">
      <c r="A1430" t="s">
        <v>45</v>
      </c>
      <c r="B1430" t="s">
        <v>28</v>
      </c>
      <c r="C1430" t="s">
        <v>23</v>
      </c>
      <c r="D1430" t="s">
        <v>18</v>
      </c>
      <c r="E1430" s="17">
        <v>22318.75</v>
      </c>
      <c r="F1430" s="17">
        <v>4226.1699999999983</v>
      </c>
      <c r="G1430" s="17">
        <v>4226.17</v>
      </c>
    </row>
    <row r="1431" spans="1:7" x14ac:dyDescent="0.3">
      <c r="A1431" t="s">
        <v>45</v>
      </c>
      <c r="B1431" t="s">
        <v>28</v>
      </c>
      <c r="C1431" t="s">
        <v>23</v>
      </c>
      <c r="D1431" t="s">
        <v>19</v>
      </c>
      <c r="E1431" s="17">
        <v>16241.06</v>
      </c>
      <c r="F1431" s="17">
        <v>4001.18</v>
      </c>
      <c r="G1431" s="17">
        <v>4001.18</v>
      </c>
    </row>
    <row r="1432" spans="1:7" x14ac:dyDescent="0.3">
      <c r="A1432" t="s">
        <v>45</v>
      </c>
      <c r="B1432" t="s">
        <v>28</v>
      </c>
      <c r="C1432" t="s">
        <v>23</v>
      </c>
      <c r="D1432" t="s">
        <v>20</v>
      </c>
      <c r="E1432" s="17">
        <v>8787.42</v>
      </c>
      <c r="F1432" s="17">
        <v>2559.23</v>
      </c>
      <c r="G1432" s="17">
        <v>2559.23</v>
      </c>
    </row>
    <row r="1433" spans="1:7" x14ac:dyDescent="0.3">
      <c r="A1433" t="s">
        <v>45</v>
      </c>
      <c r="B1433" t="s">
        <v>28</v>
      </c>
      <c r="C1433" t="s">
        <v>23</v>
      </c>
      <c r="D1433" t="s">
        <v>21</v>
      </c>
      <c r="E1433" s="17">
        <v>14665.84</v>
      </c>
      <c r="F1433" s="17">
        <v>2881.309999999999</v>
      </c>
      <c r="G1433" s="17">
        <v>2881.31</v>
      </c>
    </row>
    <row r="1434" spans="1:7" x14ac:dyDescent="0.3">
      <c r="A1434" t="s">
        <v>45</v>
      </c>
      <c r="B1434" t="s">
        <v>28</v>
      </c>
      <c r="C1434" t="s">
        <v>24</v>
      </c>
      <c r="D1434" t="s">
        <v>18</v>
      </c>
      <c r="E1434" s="17">
        <v>8434.85</v>
      </c>
      <c r="F1434" s="17">
        <v>1830.82</v>
      </c>
      <c r="G1434" s="17">
        <v>1830.82</v>
      </c>
    </row>
    <row r="1435" spans="1:7" x14ac:dyDescent="0.3">
      <c r="A1435" t="s">
        <v>45</v>
      </c>
      <c r="B1435" t="s">
        <v>28</v>
      </c>
      <c r="C1435" t="s">
        <v>24</v>
      </c>
      <c r="D1435" t="s">
        <v>19</v>
      </c>
      <c r="E1435" s="17">
        <v>6587.53</v>
      </c>
      <c r="F1435" s="17">
        <v>2759.23</v>
      </c>
      <c r="G1435" s="17">
        <v>2759.23</v>
      </c>
    </row>
    <row r="1436" spans="1:7" x14ac:dyDescent="0.3">
      <c r="A1436" t="s">
        <v>45</v>
      </c>
      <c r="B1436" t="s">
        <v>28</v>
      </c>
      <c r="C1436" t="s">
        <v>24</v>
      </c>
      <c r="D1436" t="s">
        <v>20</v>
      </c>
      <c r="E1436" s="17">
        <v>14093.72</v>
      </c>
      <c r="F1436" s="17">
        <v>4937.08</v>
      </c>
      <c r="G1436" s="17">
        <v>4937.08</v>
      </c>
    </row>
    <row r="1437" spans="1:7" x14ac:dyDescent="0.3">
      <c r="A1437" t="s">
        <v>45</v>
      </c>
      <c r="B1437" t="s">
        <v>28</v>
      </c>
      <c r="C1437" t="s">
        <v>24</v>
      </c>
      <c r="D1437" t="s">
        <v>21</v>
      </c>
      <c r="E1437" s="17">
        <v>20449.87</v>
      </c>
      <c r="F1437" s="17">
        <v>8069.6899999999987</v>
      </c>
      <c r="G1437" s="17">
        <v>8069.69</v>
      </c>
    </row>
    <row r="1438" spans="1:7" x14ac:dyDescent="0.3">
      <c r="A1438" t="s">
        <v>45</v>
      </c>
      <c r="B1438" t="s">
        <v>28</v>
      </c>
      <c r="C1438" t="s">
        <v>25</v>
      </c>
      <c r="D1438" t="s">
        <v>18</v>
      </c>
      <c r="E1438" s="17">
        <v>24756.28</v>
      </c>
      <c r="F1438" s="17">
        <v>9682.61</v>
      </c>
      <c r="G1438" s="17">
        <v>9682.61</v>
      </c>
    </row>
    <row r="1439" spans="1:7" x14ac:dyDescent="0.3">
      <c r="A1439" t="s">
        <v>45</v>
      </c>
      <c r="B1439" t="s">
        <v>28</v>
      </c>
      <c r="C1439" t="s">
        <v>25</v>
      </c>
      <c r="D1439" t="s">
        <v>19</v>
      </c>
      <c r="E1439" s="17">
        <v>10259.58</v>
      </c>
      <c r="F1439" s="17">
        <v>3355.09</v>
      </c>
      <c r="G1439" s="17">
        <v>3355.09</v>
      </c>
    </row>
    <row r="1440" spans="1:7" x14ac:dyDescent="0.3">
      <c r="A1440" t="s">
        <v>45</v>
      </c>
      <c r="B1440" t="s">
        <v>28</v>
      </c>
      <c r="C1440" t="s">
        <v>25</v>
      </c>
      <c r="D1440" t="s">
        <v>20</v>
      </c>
      <c r="E1440" s="17">
        <v>13147.63</v>
      </c>
      <c r="F1440" s="17">
        <v>5606.45</v>
      </c>
      <c r="G1440" s="17">
        <v>5606.45</v>
      </c>
    </row>
    <row r="1441" spans="1:7" x14ac:dyDescent="0.3">
      <c r="A1441" t="s">
        <v>45</v>
      </c>
      <c r="B1441" t="s">
        <v>28</v>
      </c>
      <c r="C1441" t="s">
        <v>25</v>
      </c>
      <c r="D1441" t="s">
        <v>21</v>
      </c>
      <c r="E1441" s="17">
        <v>13555.04</v>
      </c>
      <c r="F1441" s="17">
        <v>3861.33</v>
      </c>
      <c r="G1441" s="17">
        <v>3861.33</v>
      </c>
    </row>
    <row r="1442" spans="1:7" x14ac:dyDescent="0.3">
      <c r="A1442" t="s">
        <v>46</v>
      </c>
      <c r="B1442" t="s">
        <v>16</v>
      </c>
      <c r="C1442" t="s">
        <v>17</v>
      </c>
      <c r="D1442" t="s">
        <v>18</v>
      </c>
      <c r="E1442" s="17">
        <v>6135.77</v>
      </c>
      <c r="F1442" s="17">
        <v>1632.71</v>
      </c>
      <c r="G1442" s="17">
        <v>1632.71</v>
      </c>
    </row>
    <row r="1443" spans="1:7" x14ac:dyDescent="0.3">
      <c r="A1443" t="s">
        <v>46</v>
      </c>
      <c r="B1443" t="s">
        <v>16</v>
      </c>
      <c r="C1443" t="s">
        <v>17</v>
      </c>
      <c r="D1443" t="s">
        <v>19</v>
      </c>
      <c r="E1443" s="17">
        <v>7037.46</v>
      </c>
      <c r="F1443" s="17">
        <v>2968.8</v>
      </c>
      <c r="G1443" s="17">
        <v>2968.8</v>
      </c>
    </row>
    <row r="1444" spans="1:7" x14ac:dyDescent="0.3">
      <c r="A1444" t="s">
        <v>46</v>
      </c>
      <c r="B1444" t="s">
        <v>16</v>
      </c>
      <c r="C1444" t="s">
        <v>17</v>
      </c>
      <c r="D1444" t="s">
        <v>20</v>
      </c>
      <c r="E1444" s="17">
        <v>19906.38</v>
      </c>
      <c r="F1444" s="17">
        <v>3898.059999999999</v>
      </c>
      <c r="G1444" s="17">
        <v>3898.06</v>
      </c>
    </row>
    <row r="1445" spans="1:7" x14ac:dyDescent="0.3">
      <c r="A1445" t="s">
        <v>46</v>
      </c>
      <c r="B1445" t="s">
        <v>16</v>
      </c>
      <c r="C1445" t="s">
        <v>17</v>
      </c>
      <c r="D1445" t="s">
        <v>21</v>
      </c>
      <c r="E1445" s="17">
        <v>24805.22</v>
      </c>
      <c r="F1445" s="17">
        <v>8010.760000000002</v>
      </c>
      <c r="G1445" s="17">
        <v>8010.76</v>
      </c>
    </row>
    <row r="1446" spans="1:7" x14ac:dyDescent="0.3">
      <c r="A1446" t="s">
        <v>46</v>
      </c>
      <c r="B1446" t="s">
        <v>16</v>
      </c>
      <c r="C1446" t="s">
        <v>22</v>
      </c>
      <c r="D1446" t="s">
        <v>18</v>
      </c>
      <c r="E1446" s="17">
        <v>19637.37</v>
      </c>
      <c r="F1446" s="17">
        <v>8834.73</v>
      </c>
      <c r="G1446" s="17">
        <v>8834.73</v>
      </c>
    </row>
    <row r="1447" spans="1:7" x14ac:dyDescent="0.3">
      <c r="A1447" t="s">
        <v>46</v>
      </c>
      <c r="B1447" t="s">
        <v>16</v>
      </c>
      <c r="C1447" t="s">
        <v>22</v>
      </c>
      <c r="D1447" t="s">
        <v>19</v>
      </c>
      <c r="E1447" s="17">
        <v>24401.54</v>
      </c>
      <c r="F1447" s="17">
        <v>5052</v>
      </c>
      <c r="G1447" s="17">
        <v>5052</v>
      </c>
    </row>
    <row r="1448" spans="1:7" x14ac:dyDescent="0.3">
      <c r="A1448" t="s">
        <v>46</v>
      </c>
      <c r="B1448" t="s">
        <v>16</v>
      </c>
      <c r="C1448" t="s">
        <v>22</v>
      </c>
      <c r="D1448" t="s">
        <v>20</v>
      </c>
      <c r="E1448" s="17">
        <v>17107.88</v>
      </c>
      <c r="F1448" s="17">
        <v>4310.5400000000009</v>
      </c>
      <c r="G1448" s="17">
        <v>4310.54</v>
      </c>
    </row>
    <row r="1449" spans="1:7" x14ac:dyDescent="0.3">
      <c r="A1449" t="s">
        <v>46</v>
      </c>
      <c r="B1449" t="s">
        <v>16</v>
      </c>
      <c r="C1449" t="s">
        <v>22</v>
      </c>
      <c r="D1449" t="s">
        <v>21</v>
      </c>
      <c r="E1449" s="17">
        <v>20774.560000000001</v>
      </c>
      <c r="F1449" s="17">
        <v>8884.4500000000007</v>
      </c>
      <c r="G1449" s="17">
        <v>8884.4500000000007</v>
      </c>
    </row>
    <row r="1450" spans="1:7" x14ac:dyDescent="0.3">
      <c r="A1450" t="s">
        <v>46</v>
      </c>
      <c r="B1450" t="s">
        <v>16</v>
      </c>
      <c r="C1450" t="s">
        <v>23</v>
      </c>
      <c r="D1450" t="s">
        <v>18</v>
      </c>
      <c r="E1450" s="17">
        <v>3285.9</v>
      </c>
      <c r="F1450" s="17">
        <v>1475.45</v>
      </c>
      <c r="G1450" s="17">
        <v>1475.45</v>
      </c>
    </row>
    <row r="1451" spans="1:7" x14ac:dyDescent="0.3">
      <c r="A1451" t="s">
        <v>46</v>
      </c>
      <c r="B1451" t="s">
        <v>16</v>
      </c>
      <c r="C1451" t="s">
        <v>23</v>
      </c>
      <c r="D1451" t="s">
        <v>19</v>
      </c>
      <c r="E1451" s="17">
        <v>7046.47</v>
      </c>
      <c r="F1451" s="17">
        <v>2878.88</v>
      </c>
      <c r="G1451" s="17">
        <v>2878.88</v>
      </c>
    </row>
    <row r="1452" spans="1:7" x14ac:dyDescent="0.3">
      <c r="A1452" t="s">
        <v>46</v>
      </c>
      <c r="B1452" t="s">
        <v>16</v>
      </c>
      <c r="C1452" t="s">
        <v>23</v>
      </c>
      <c r="D1452" t="s">
        <v>20</v>
      </c>
      <c r="E1452" s="17">
        <v>20339.990000000002</v>
      </c>
      <c r="F1452" s="17">
        <v>5609.7099999999991</v>
      </c>
      <c r="G1452" s="17">
        <v>5609.71</v>
      </c>
    </row>
    <row r="1453" spans="1:7" x14ac:dyDescent="0.3">
      <c r="A1453" t="s">
        <v>46</v>
      </c>
      <c r="B1453" t="s">
        <v>16</v>
      </c>
      <c r="C1453" t="s">
        <v>23</v>
      </c>
      <c r="D1453" t="s">
        <v>21</v>
      </c>
      <c r="E1453" s="17">
        <v>21302.11</v>
      </c>
      <c r="F1453" s="17">
        <v>8695.73</v>
      </c>
      <c r="G1453" s="17">
        <v>8695.73</v>
      </c>
    </row>
    <row r="1454" spans="1:7" x14ac:dyDescent="0.3">
      <c r="A1454" t="s">
        <v>46</v>
      </c>
      <c r="B1454" t="s">
        <v>16</v>
      </c>
      <c r="C1454" t="s">
        <v>24</v>
      </c>
      <c r="D1454" t="s">
        <v>18</v>
      </c>
      <c r="E1454" s="17">
        <v>6050.31</v>
      </c>
      <c r="F1454" s="17">
        <v>2056.9899999999998</v>
      </c>
      <c r="G1454" s="17">
        <v>2056.9899999999998</v>
      </c>
    </row>
    <row r="1455" spans="1:7" x14ac:dyDescent="0.3">
      <c r="A1455" t="s">
        <v>46</v>
      </c>
      <c r="B1455" t="s">
        <v>16</v>
      </c>
      <c r="C1455" t="s">
        <v>24</v>
      </c>
      <c r="D1455" t="s">
        <v>19</v>
      </c>
      <c r="E1455" s="17">
        <v>20542.84</v>
      </c>
      <c r="F1455" s="17">
        <v>7567.1399999999994</v>
      </c>
      <c r="G1455" s="17">
        <v>7567.14</v>
      </c>
    </row>
    <row r="1456" spans="1:7" x14ac:dyDescent="0.3">
      <c r="A1456" t="s">
        <v>46</v>
      </c>
      <c r="B1456" t="s">
        <v>16</v>
      </c>
      <c r="C1456" t="s">
        <v>24</v>
      </c>
      <c r="D1456" t="s">
        <v>20</v>
      </c>
      <c r="E1456" s="17">
        <v>23021.54</v>
      </c>
      <c r="F1456" s="17">
        <v>4319.2000000000007</v>
      </c>
      <c r="G1456" s="17">
        <v>4319.2</v>
      </c>
    </row>
    <row r="1457" spans="1:7" x14ac:dyDescent="0.3">
      <c r="A1457" t="s">
        <v>46</v>
      </c>
      <c r="B1457" t="s">
        <v>16</v>
      </c>
      <c r="C1457" t="s">
        <v>24</v>
      </c>
      <c r="D1457" t="s">
        <v>21</v>
      </c>
      <c r="E1457" s="17">
        <v>18112.900000000001</v>
      </c>
      <c r="F1457" s="17">
        <v>7894.34</v>
      </c>
      <c r="G1457" s="17">
        <v>7894.34</v>
      </c>
    </row>
    <row r="1458" spans="1:7" x14ac:dyDescent="0.3">
      <c r="A1458" t="s">
        <v>46</v>
      </c>
      <c r="B1458" t="s">
        <v>16</v>
      </c>
      <c r="C1458" t="s">
        <v>25</v>
      </c>
      <c r="D1458" t="s">
        <v>18</v>
      </c>
      <c r="E1458" s="17">
        <v>14962.95</v>
      </c>
      <c r="F1458" s="17">
        <v>4968.2900000000009</v>
      </c>
      <c r="G1458" s="17">
        <v>4968.29</v>
      </c>
    </row>
    <row r="1459" spans="1:7" x14ac:dyDescent="0.3">
      <c r="A1459" t="s">
        <v>46</v>
      </c>
      <c r="B1459" t="s">
        <v>16</v>
      </c>
      <c r="C1459" t="s">
        <v>25</v>
      </c>
      <c r="D1459" t="s">
        <v>19</v>
      </c>
      <c r="E1459" s="17">
        <v>6329.37</v>
      </c>
      <c r="F1459" s="17">
        <v>2827.72</v>
      </c>
      <c r="G1459" s="17">
        <v>2827.72</v>
      </c>
    </row>
    <row r="1460" spans="1:7" x14ac:dyDescent="0.3">
      <c r="A1460" t="s">
        <v>46</v>
      </c>
      <c r="B1460" t="s">
        <v>16</v>
      </c>
      <c r="C1460" t="s">
        <v>25</v>
      </c>
      <c r="D1460" t="s">
        <v>20</v>
      </c>
      <c r="E1460" s="17">
        <v>22277.41</v>
      </c>
      <c r="F1460" s="17">
        <v>6970.630000000001</v>
      </c>
      <c r="G1460" s="17">
        <v>6970.63</v>
      </c>
    </row>
    <row r="1461" spans="1:7" x14ac:dyDescent="0.3">
      <c r="A1461" t="s">
        <v>46</v>
      </c>
      <c r="B1461" t="s">
        <v>16</v>
      </c>
      <c r="C1461" t="s">
        <v>25</v>
      </c>
      <c r="D1461" t="s">
        <v>21</v>
      </c>
      <c r="E1461" s="17">
        <v>9108.2199999999993</v>
      </c>
      <c r="F1461" s="17">
        <v>2845.57</v>
      </c>
      <c r="G1461" s="17">
        <v>2845.57</v>
      </c>
    </row>
    <row r="1462" spans="1:7" x14ac:dyDescent="0.3">
      <c r="A1462" t="s">
        <v>46</v>
      </c>
      <c r="B1462" t="s">
        <v>26</v>
      </c>
      <c r="C1462" t="s">
        <v>17</v>
      </c>
      <c r="D1462" t="s">
        <v>18</v>
      </c>
      <c r="E1462" s="17">
        <v>4075.92</v>
      </c>
      <c r="F1462" s="17">
        <v>989.67000000000007</v>
      </c>
      <c r="G1462" s="17">
        <v>989.67</v>
      </c>
    </row>
    <row r="1463" spans="1:7" x14ac:dyDescent="0.3">
      <c r="A1463" t="s">
        <v>46</v>
      </c>
      <c r="B1463" t="s">
        <v>26</v>
      </c>
      <c r="C1463" t="s">
        <v>17</v>
      </c>
      <c r="D1463" t="s">
        <v>19</v>
      </c>
      <c r="E1463" s="17">
        <v>7032.61</v>
      </c>
      <c r="F1463" s="17">
        <v>2265.4899999999998</v>
      </c>
      <c r="G1463" s="17">
        <v>2265.4899999999998</v>
      </c>
    </row>
    <row r="1464" spans="1:7" x14ac:dyDescent="0.3">
      <c r="A1464" t="s">
        <v>46</v>
      </c>
      <c r="B1464" t="s">
        <v>26</v>
      </c>
      <c r="C1464" t="s">
        <v>17</v>
      </c>
      <c r="D1464" t="s">
        <v>20</v>
      </c>
      <c r="E1464" s="17">
        <v>2015.72</v>
      </c>
      <c r="F1464" s="17">
        <v>862.3900000000001</v>
      </c>
      <c r="G1464" s="17">
        <v>862.39</v>
      </c>
    </row>
    <row r="1465" spans="1:7" x14ac:dyDescent="0.3">
      <c r="A1465" t="s">
        <v>46</v>
      </c>
      <c r="B1465" t="s">
        <v>26</v>
      </c>
      <c r="C1465" t="s">
        <v>17</v>
      </c>
      <c r="D1465" t="s">
        <v>21</v>
      </c>
      <c r="E1465" s="17">
        <v>6633.68</v>
      </c>
      <c r="F1465" s="17">
        <v>1427.78</v>
      </c>
      <c r="G1465" s="17">
        <v>1427.78</v>
      </c>
    </row>
    <row r="1466" spans="1:7" x14ac:dyDescent="0.3">
      <c r="A1466" t="s">
        <v>46</v>
      </c>
      <c r="B1466" t="s">
        <v>26</v>
      </c>
      <c r="C1466" t="s">
        <v>22</v>
      </c>
      <c r="D1466" t="s">
        <v>18</v>
      </c>
      <c r="E1466" s="17">
        <v>18489.57</v>
      </c>
      <c r="F1466" s="17">
        <v>7914.85</v>
      </c>
      <c r="G1466" s="17">
        <v>7914.85</v>
      </c>
    </row>
    <row r="1467" spans="1:7" x14ac:dyDescent="0.3">
      <c r="A1467" t="s">
        <v>46</v>
      </c>
      <c r="B1467" t="s">
        <v>26</v>
      </c>
      <c r="C1467" t="s">
        <v>22</v>
      </c>
      <c r="D1467" t="s">
        <v>19</v>
      </c>
      <c r="E1467" s="17">
        <v>21418.53</v>
      </c>
      <c r="F1467" s="17">
        <v>5726.65</v>
      </c>
      <c r="G1467" s="17">
        <v>5726.65</v>
      </c>
    </row>
    <row r="1468" spans="1:7" x14ac:dyDescent="0.3">
      <c r="A1468" t="s">
        <v>46</v>
      </c>
      <c r="B1468" t="s">
        <v>26</v>
      </c>
      <c r="C1468" t="s">
        <v>22</v>
      </c>
      <c r="D1468" t="s">
        <v>20</v>
      </c>
      <c r="E1468" s="17">
        <v>2504</v>
      </c>
      <c r="F1468" s="17">
        <v>847.31</v>
      </c>
      <c r="G1468" s="17">
        <v>847.31</v>
      </c>
    </row>
    <row r="1469" spans="1:7" x14ac:dyDescent="0.3">
      <c r="A1469" t="s">
        <v>46</v>
      </c>
      <c r="B1469" t="s">
        <v>26</v>
      </c>
      <c r="C1469" t="s">
        <v>22</v>
      </c>
      <c r="D1469" t="s">
        <v>21</v>
      </c>
      <c r="E1469" s="17">
        <v>23096.16</v>
      </c>
      <c r="F1469" s="17">
        <v>8986.23</v>
      </c>
      <c r="G1469" s="17">
        <v>8986.23</v>
      </c>
    </row>
    <row r="1470" spans="1:7" x14ac:dyDescent="0.3">
      <c r="A1470" t="s">
        <v>46</v>
      </c>
      <c r="B1470" t="s">
        <v>26</v>
      </c>
      <c r="C1470" t="s">
        <v>23</v>
      </c>
      <c r="D1470" t="s">
        <v>18</v>
      </c>
      <c r="E1470" s="17">
        <v>21469.06</v>
      </c>
      <c r="F1470" s="17">
        <v>8853.43</v>
      </c>
      <c r="G1470" s="17">
        <v>8853.43</v>
      </c>
    </row>
    <row r="1471" spans="1:7" x14ac:dyDescent="0.3">
      <c r="A1471" t="s">
        <v>46</v>
      </c>
      <c r="B1471" t="s">
        <v>26</v>
      </c>
      <c r="C1471" t="s">
        <v>23</v>
      </c>
      <c r="D1471" t="s">
        <v>19</v>
      </c>
      <c r="E1471" s="17">
        <v>24092.85</v>
      </c>
      <c r="F1471" s="17">
        <v>6766.9500000000007</v>
      </c>
      <c r="G1471" s="17">
        <v>6766.95</v>
      </c>
    </row>
    <row r="1472" spans="1:7" x14ac:dyDescent="0.3">
      <c r="A1472" t="s">
        <v>46</v>
      </c>
      <c r="B1472" t="s">
        <v>26</v>
      </c>
      <c r="C1472" t="s">
        <v>23</v>
      </c>
      <c r="D1472" t="s">
        <v>20</v>
      </c>
      <c r="E1472" s="17">
        <v>23664.23</v>
      </c>
      <c r="F1472" s="17">
        <v>6787.16</v>
      </c>
      <c r="G1472" s="17">
        <v>6787.16</v>
      </c>
    </row>
    <row r="1473" spans="1:7" x14ac:dyDescent="0.3">
      <c r="A1473" t="s">
        <v>46</v>
      </c>
      <c r="B1473" t="s">
        <v>26</v>
      </c>
      <c r="C1473" t="s">
        <v>23</v>
      </c>
      <c r="D1473" t="s">
        <v>21</v>
      </c>
      <c r="E1473" s="17">
        <v>4323.74</v>
      </c>
      <c r="F1473" s="17">
        <v>1130.56</v>
      </c>
      <c r="G1473" s="17">
        <v>1130.56</v>
      </c>
    </row>
    <row r="1474" spans="1:7" x14ac:dyDescent="0.3">
      <c r="A1474" t="s">
        <v>46</v>
      </c>
      <c r="B1474" t="s">
        <v>26</v>
      </c>
      <c r="C1474" t="s">
        <v>24</v>
      </c>
      <c r="D1474" t="s">
        <v>18</v>
      </c>
      <c r="E1474" s="17">
        <v>5138.3900000000003</v>
      </c>
      <c r="F1474" s="17">
        <v>1143.43</v>
      </c>
      <c r="G1474" s="17">
        <v>1143.43</v>
      </c>
    </row>
    <row r="1475" spans="1:7" x14ac:dyDescent="0.3">
      <c r="A1475" t="s">
        <v>46</v>
      </c>
      <c r="B1475" t="s">
        <v>26</v>
      </c>
      <c r="C1475" t="s">
        <v>24</v>
      </c>
      <c r="D1475" t="s">
        <v>19</v>
      </c>
      <c r="E1475" s="17">
        <v>23819.95</v>
      </c>
      <c r="F1475" s="17">
        <v>9380.24</v>
      </c>
      <c r="G1475" s="17">
        <v>9380.24</v>
      </c>
    </row>
    <row r="1476" spans="1:7" x14ac:dyDescent="0.3">
      <c r="A1476" t="s">
        <v>46</v>
      </c>
      <c r="B1476" t="s">
        <v>26</v>
      </c>
      <c r="C1476" t="s">
        <v>24</v>
      </c>
      <c r="D1476" t="s">
        <v>20</v>
      </c>
      <c r="E1476" s="17">
        <v>24095.23</v>
      </c>
      <c r="F1476" s="17">
        <v>8560.52</v>
      </c>
      <c r="G1476" s="17">
        <v>8560.52</v>
      </c>
    </row>
    <row r="1477" spans="1:7" x14ac:dyDescent="0.3">
      <c r="A1477" t="s">
        <v>46</v>
      </c>
      <c r="B1477" t="s">
        <v>26</v>
      </c>
      <c r="C1477" t="s">
        <v>24</v>
      </c>
      <c r="D1477" t="s">
        <v>21</v>
      </c>
      <c r="E1477" s="17">
        <v>6006.66</v>
      </c>
      <c r="F1477" s="17">
        <v>2652.3</v>
      </c>
      <c r="G1477" s="17">
        <v>2652.3</v>
      </c>
    </row>
    <row r="1478" spans="1:7" x14ac:dyDescent="0.3">
      <c r="A1478" t="s">
        <v>46</v>
      </c>
      <c r="B1478" t="s">
        <v>26</v>
      </c>
      <c r="C1478" t="s">
        <v>25</v>
      </c>
      <c r="D1478" t="s">
        <v>18</v>
      </c>
      <c r="E1478" s="17">
        <v>17951.89</v>
      </c>
      <c r="F1478" s="17">
        <v>7733.4599999999991</v>
      </c>
      <c r="G1478" s="17">
        <v>7733.46</v>
      </c>
    </row>
    <row r="1479" spans="1:7" x14ac:dyDescent="0.3">
      <c r="A1479" t="s">
        <v>46</v>
      </c>
      <c r="B1479" t="s">
        <v>26</v>
      </c>
      <c r="C1479" t="s">
        <v>25</v>
      </c>
      <c r="D1479" t="s">
        <v>19</v>
      </c>
      <c r="E1479" s="17">
        <v>20100.810000000001</v>
      </c>
      <c r="F1479" s="17">
        <v>4829.7000000000007</v>
      </c>
      <c r="G1479" s="17">
        <v>4829.7</v>
      </c>
    </row>
    <row r="1480" spans="1:7" x14ac:dyDescent="0.3">
      <c r="A1480" t="s">
        <v>46</v>
      </c>
      <c r="B1480" t="s">
        <v>26</v>
      </c>
      <c r="C1480" t="s">
        <v>25</v>
      </c>
      <c r="D1480" t="s">
        <v>20</v>
      </c>
      <c r="E1480" s="17">
        <v>15545.85</v>
      </c>
      <c r="F1480" s="17">
        <v>3534.27</v>
      </c>
      <c r="G1480" s="17">
        <v>3534.27</v>
      </c>
    </row>
    <row r="1481" spans="1:7" x14ac:dyDescent="0.3">
      <c r="A1481" t="s">
        <v>46</v>
      </c>
      <c r="B1481" t="s">
        <v>26</v>
      </c>
      <c r="C1481" t="s">
        <v>25</v>
      </c>
      <c r="D1481" t="s">
        <v>21</v>
      </c>
      <c r="E1481" s="17">
        <v>9056.93</v>
      </c>
      <c r="F1481" s="17">
        <v>3313.88</v>
      </c>
      <c r="G1481" s="17">
        <v>3313.88</v>
      </c>
    </row>
    <row r="1482" spans="1:7" x14ac:dyDescent="0.3">
      <c r="A1482" t="s">
        <v>46</v>
      </c>
      <c r="B1482" t="s">
        <v>27</v>
      </c>
      <c r="C1482" t="s">
        <v>17</v>
      </c>
      <c r="D1482" t="s">
        <v>18</v>
      </c>
      <c r="E1482" s="17">
        <v>4929.01</v>
      </c>
      <c r="F1482" s="17">
        <v>1857.17</v>
      </c>
      <c r="G1482" s="17">
        <v>1857.17</v>
      </c>
    </row>
    <row r="1483" spans="1:7" x14ac:dyDescent="0.3">
      <c r="A1483" t="s">
        <v>46</v>
      </c>
      <c r="B1483" t="s">
        <v>27</v>
      </c>
      <c r="C1483" t="s">
        <v>17</v>
      </c>
      <c r="D1483" t="s">
        <v>19</v>
      </c>
      <c r="E1483" s="17">
        <v>23822.13</v>
      </c>
      <c r="F1483" s="17">
        <v>10389.99</v>
      </c>
      <c r="G1483" s="17">
        <v>10389.99</v>
      </c>
    </row>
    <row r="1484" spans="1:7" x14ac:dyDescent="0.3">
      <c r="A1484" t="s">
        <v>46</v>
      </c>
      <c r="B1484" t="s">
        <v>27</v>
      </c>
      <c r="C1484" t="s">
        <v>17</v>
      </c>
      <c r="D1484" t="s">
        <v>20</v>
      </c>
      <c r="E1484" s="17">
        <v>11006.83</v>
      </c>
      <c r="F1484" s="17">
        <v>4936.08</v>
      </c>
      <c r="G1484" s="17">
        <v>4936.08</v>
      </c>
    </row>
    <row r="1485" spans="1:7" x14ac:dyDescent="0.3">
      <c r="A1485" t="s">
        <v>46</v>
      </c>
      <c r="B1485" t="s">
        <v>27</v>
      </c>
      <c r="C1485" t="s">
        <v>17</v>
      </c>
      <c r="D1485" t="s">
        <v>21</v>
      </c>
      <c r="E1485" s="17">
        <v>24199.23</v>
      </c>
      <c r="F1485" s="17">
        <v>4567.4399999999987</v>
      </c>
      <c r="G1485" s="17">
        <v>4567.4399999999996</v>
      </c>
    </row>
    <row r="1486" spans="1:7" x14ac:dyDescent="0.3">
      <c r="A1486" t="s">
        <v>46</v>
      </c>
      <c r="B1486" t="s">
        <v>27</v>
      </c>
      <c r="C1486" t="s">
        <v>22</v>
      </c>
      <c r="D1486" t="s">
        <v>18</v>
      </c>
      <c r="E1486" s="17">
        <v>15854.94</v>
      </c>
      <c r="F1486" s="17">
        <v>6796.6999999999989</v>
      </c>
      <c r="G1486" s="17">
        <v>6796.7</v>
      </c>
    </row>
    <row r="1487" spans="1:7" x14ac:dyDescent="0.3">
      <c r="A1487" t="s">
        <v>46</v>
      </c>
      <c r="B1487" t="s">
        <v>27</v>
      </c>
      <c r="C1487" t="s">
        <v>22</v>
      </c>
      <c r="D1487" t="s">
        <v>19</v>
      </c>
      <c r="E1487" s="17">
        <v>24253.23</v>
      </c>
      <c r="F1487" s="17">
        <v>5812.09</v>
      </c>
      <c r="G1487" s="17">
        <v>5812.09</v>
      </c>
    </row>
    <row r="1488" spans="1:7" x14ac:dyDescent="0.3">
      <c r="A1488" t="s">
        <v>46</v>
      </c>
      <c r="B1488" t="s">
        <v>27</v>
      </c>
      <c r="C1488" t="s">
        <v>22</v>
      </c>
      <c r="D1488" t="s">
        <v>20</v>
      </c>
      <c r="E1488" s="17">
        <v>15007.66</v>
      </c>
      <c r="F1488" s="17">
        <v>6496.9</v>
      </c>
      <c r="G1488" s="17">
        <v>6496.9</v>
      </c>
    </row>
    <row r="1489" spans="1:7" x14ac:dyDescent="0.3">
      <c r="A1489" t="s">
        <v>46</v>
      </c>
      <c r="B1489" t="s">
        <v>27</v>
      </c>
      <c r="C1489" t="s">
        <v>22</v>
      </c>
      <c r="D1489" t="s">
        <v>21</v>
      </c>
      <c r="E1489" s="17">
        <v>5234.8</v>
      </c>
      <c r="F1489" s="17">
        <v>1995.73</v>
      </c>
      <c r="G1489" s="17">
        <v>1995.73</v>
      </c>
    </row>
    <row r="1490" spans="1:7" x14ac:dyDescent="0.3">
      <c r="A1490" t="s">
        <v>46</v>
      </c>
      <c r="B1490" t="s">
        <v>27</v>
      </c>
      <c r="C1490" t="s">
        <v>23</v>
      </c>
      <c r="D1490" t="s">
        <v>18</v>
      </c>
      <c r="E1490" s="17">
        <v>7473.91</v>
      </c>
      <c r="F1490" s="17">
        <v>3327.7</v>
      </c>
      <c r="G1490" s="17">
        <v>3327.7</v>
      </c>
    </row>
    <row r="1491" spans="1:7" x14ac:dyDescent="0.3">
      <c r="A1491" t="s">
        <v>46</v>
      </c>
      <c r="B1491" t="s">
        <v>27</v>
      </c>
      <c r="C1491" t="s">
        <v>23</v>
      </c>
      <c r="D1491" t="s">
        <v>19</v>
      </c>
      <c r="E1491" s="17">
        <v>5861.41</v>
      </c>
      <c r="F1491" s="17">
        <v>2456.14</v>
      </c>
      <c r="G1491" s="17">
        <v>2456.14</v>
      </c>
    </row>
    <row r="1492" spans="1:7" x14ac:dyDescent="0.3">
      <c r="A1492" t="s">
        <v>46</v>
      </c>
      <c r="B1492" t="s">
        <v>27</v>
      </c>
      <c r="C1492" t="s">
        <v>23</v>
      </c>
      <c r="D1492" t="s">
        <v>20</v>
      </c>
      <c r="E1492" s="17">
        <v>4040.7</v>
      </c>
      <c r="F1492" s="17">
        <v>1500.8</v>
      </c>
      <c r="G1492" s="17">
        <v>1500.8</v>
      </c>
    </row>
    <row r="1493" spans="1:7" x14ac:dyDescent="0.3">
      <c r="A1493" t="s">
        <v>46</v>
      </c>
      <c r="B1493" t="s">
        <v>27</v>
      </c>
      <c r="C1493" t="s">
        <v>23</v>
      </c>
      <c r="D1493" t="s">
        <v>21</v>
      </c>
      <c r="E1493" s="17">
        <v>16699.36</v>
      </c>
      <c r="F1493" s="17">
        <v>7003.65</v>
      </c>
      <c r="G1493" s="17">
        <v>7003.65</v>
      </c>
    </row>
    <row r="1494" spans="1:7" x14ac:dyDescent="0.3">
      <c r="A1494" t="s">
        <v>46</v>
      </c>
      <c r="B1494" t="s">
        <v>27</v>
      </c>
      <c r="C1494" t="s">
        <v>24</v>
      </c>
      <c r="D1494" t="s">
        <v>18</v>
      </c>
      <c r="E1494" s="17">
        <v>12272.49</v>
      </c>
      <c r="F1494" s="17">
        <v>3087.85</v>
      </c>
      <c r="G1494" s="17">
        <v>3087.85</v>
      </c>
    </row>
    <row r="1495" spans="1:7" x14ac:dyDescent="0.3">
      <c r="A1495" t="s">
        <v>46</v>
      </c>
      <c r="B1495" t="s">
        <v>27</v>
      </c>
      <c r="C1495" t="s">
        <v>24</v>
      </c>
      <c r="D1495" t="s">
        <v>19</v>
      </c>
      <c r="E1495" s="17">
        <v>7739.44</v>
      </c>
      <c r="F1495" s="17">
        <v>1534.77</v>
      </c>
      <c r="G1495" s="17">
        <v>1534.77</v>
      </c>
    </row>
    <row r="1496" spans="1:7" x14ac:dyDescent="0.3">
      <c r="A1496" t="s">
        <v>46</v>
      </c>
      <c r="B1496" t="s">
        <v>27</v>
      </c>
      <c r="C1496" t="s">
        <v>24</v>
      </c>
      <c r="D1496" t="s">
        <v>20</v>
      </c>
      <c r="E1496" s="17">
        <v>7903.13</v>
      </c>
      <c r="F1496" s="17">
        <v>1653.09</v>
      </c>
      <c r="G1496" s="17">
        <v>1653.09</v>
      </c>
    </row>
    <row r="1497" spans="1:7" x14ac:dyDescent="0.3">
      <c r="A1497" t="s">
        <v>46</v>
      </c>
      <c r="B1497" t="s">
        <v>27</v>
      </c>
      <c r="C1497" t="s">
        <v>24</v>
      </c>
      <c r="D1497" t="s">
        <v>21</v>
      </c>
      <c r="E1497" s="17">
        <v>2029.47</v>
      </c>
      <c r="F1497" s="17">
        <v>576.78</v>
      </c>
      <c r="G1497" s="17">
        <v>576.78</v>
      </c>
    </row>
    <row r="1498" spans="1:7" x14ac:dyDescent="0.3">
      <c r="A1498" t="s">
        <v>46</v>
      </c>
      <c r="B1498" t="s">
        <v>27</v>
      </c>
      <c r="C1498" t="s">
        <v>25</v>
      </c>
      <c r="D1498" t="s">
        <v>18</v>
      </c>
      <c r="E1498" s="17">
        <v>18849.439999999999</v>
      </c>
      <c r="F1498" s="17">
        <v>8325</v>
      </c>
      <c r="G1498" s="17">
        <v>8325</v>
      </c>
    </row>
    <row r="1499" spans="1:7" x14ac:dyDescent="0.3">
      <c r="A1499" t="s">
        <v>46</v>
      </c>
      <c r="B1499" t="s">
        <v>27</v>
      </c>
      <c r="C1499" t="s">
        <v>25</v>
      </c>
      <c r="D1499" t="s">
        <v>19</v>
      </c>
      <c r="E1499" s="17">
        <v>22344.7</v>
      </c>
      <c r="F1499" s="17">
        <v>6996.84</v>
      </c>
      <c r="G1499" s="17">
        <v>6996.84</v>
      </c>
    </row>
    <row r="1500" spans="1:7" x14ac:dyDescent="0.3">
      <c r="A1500" t="s">
        <v>46</v>
      </c>
      <c r="B1500" t="s">
        <v>27</v>
      </c>
      <c r="C1500" t="s">
        <v>25</v>
      </c>
      <c r="D1500" t="s">
        <v>20</v>
      </c>
      <c r="E1500" s="17">
        <v>10710.39</v>
      </c>
      <c r="F1500" s="17">
        <v>3506.87</v>
      </c>
      <c r="G1500" s="17">
        <v>3506.87</v>
      </c>
    </row>
    <row r="1501" spans="1:7" x14ac:dyDescent="0.3">
      <c r="A1501" t="s">
        <v>46</v>
      </c>
      <c r="B1501" t="s">
        <v>27</v>
      </c>
      <c r="C1501" t="s">
        <v>25</v>
      </c>
      <c r="D1501" t="s">
        <v>21</v>
      </c>
      <c r="E1501" s="17">
        <v>4332.8599999999997</v>
      </c>
      <c r="F1501" s="17">
        <v>1340.86</v>
      </c>
      <c r="G1501" s="17">
        <v>1340.86</v>
      </c>
    </row>
    <row r="1502" spans="1:7" x14ac:dyDescent="0.3">
      <c r="A1502" t="s">
        <v>46</v>
      </c>
      <c r="B1502" t="s">
        <v>28</v>
      </c>
      <c r="C1502" t="s">
        <v>17</v>
      </c>
      <c r="D1502" t="s">
        <v>18</v>
      </c>
      <c r="E1502" s="17">
        <v>21873.17</v>
      </c>
      <c r="F1502" s="17">
        <v>7781.6399999999994</v>
      </c>
      <c r="G1502" s="17">
        <v>7781.64</v>
      </c>
    </row>
    <row r="1503" spans="1:7" x14ac:dyDescent="0.3">
      <c r="A1503" t="s">
        <v>46</v>
      </c>
      <c r="B1503" t="s">
        <v>28</v>
      </c>
      <c r="C1503" t="s">
        <v>17</v>
      </c>
      <c r="D1503" t="s">
        <v>19</v>
      </c>
      <c r="E1503" s="17">
        <v>17804.689999999999</v>
      </c>
      <c r="F1503" s="17">
        <v>3986.7800000000011</v>
      </c>
      <c r="G1503" s="17">
        <v>3986.78</v>
      </c>
    </row>
    <row r="1504" spans="1:7" x14ac:dyDescent="0.3">
      <c r="A1504" t="s">
        <v>46</v>
      </c>
      <c r="B1504" t="s">
        <v>28</v>
      </c>
      <c r="C1504" t="s">
        <v>17</v>
      </c>
      <c r="D1504" t="s">
        <v>20</v>
      </c>
      <c r="E1504" s="17">
        <v>3695.32</v>
      </c>
      <c r="F1504" s="17">
        <v>1509.01</v>
      </c>
      <c r="G1504" s="17">
        <v>1509.01</v>
      </c>
    </row>
    <row r="1505" spans="1:7" x14ac:dyDescent="0.3">
      <c r="A1505" t="s">
        <v>46</v>
      </c>
      <c r="B1505" t="s">
        <v>28</v>
      </c>
      <c r="C1505" t="s">
        <v>17</v>
      </c>
      <c r="D1505" t="s">
        <v>21</v>
      </c>
      <c r="E1505" s="17">
        <v>8782.9</v>
      </c>
      <c r="F1505" s="17">
        <v>2336.7199999999989</v>
      </c>
      <c r="G1505" s="17">
        <v>2336.7199999999998</v>
      </c>
    </row>
    <row r="1506" spans="1:7" x14ac:dyDescent="0.3">
      <c r="A1506" t="s">
        <v>46</v>
      </c>
      <c r="B1506" t="s">
        <v>28</v>
      </c>
      <c r="C1506" t="s">
        <v>22</v>
      </c>
      <c r="D1506" t="s">
        <v>18</v>
      </c>
      <c r="E1506" s="17">
        <v>23888.23</v>
      </c>
      <c r="F1506" s="17">
        <v>4778.4599999999991</v>
      </c>
      <c r="G1506" s="17">
        <v>4778.46</v>
      </c>
    </row>
    <row r="1507" spans="1:7" x14ac:dyDescent="0.3">
      <c r="A1507" t="s">
        <v>46</v>
      </c>
      <c r="B1507" t="s">
        <v>28</v>
      </c>
      <c r="C1507" t="s">
        <v>22</v>
      </c>
      <c r="D1507" t="s">
        <v>19</v>
      </c>
      <c r="E1507" s="17">
        <v>5912.42</v>
      </c>
      <c r="F1507" s="17">
        <v>1663.6</v>
      </c>
      <c r="G1507" s="17">
        <v>1663.6</v>
      </c>
    </row>
    <row r="1508" spans="1:7" x14ac:dyDescent="0.3">
      <c r="A1508" t="s">
        <v>46</v>
      </c>
      <c r="B1508" t="s">
        <v>28</v>
      </c>
      <c r="C1508" t="s">
        <v>22</v>
      </c>
      <c r="D1508" t="s">
        <v>20</v>
      </c>
      <c r="E1508" s="17">
        <v>18835.66</v>
      </c>
      <c r="F1508" s="17">
        <v>6172.49</v>
      </c>
      <c r="G1508" s="17">
        <v>6172.49</v>
      </c>
    </row>
    <row r="1509" spans="1:7" x14ac:dyDescent="0.3">
      <c r="A1509" t="s">
        <v>46</v>
      </c>
      <c r="B1509" t="s">
        <v>28</v>
      </c>
      <c r="C1509" t="s">
        <v>22</v>
      </c>
      <c r="D1509" t="s">
        <v>21</v>
      </c>
      <c r="E1509" s="17">
        <v>22656.86</v>
      </c>
      <c r="F1509" s="17">
        <v>4647.7900000000009</v>
      </c>
      <c r="G1509" s="17">
        <v>4647.79</v>
      </c>
    </row>
    <row r="1510" spans="1:7" x14ac:dyDescent="0.3">
      <c r="A1510" t="s">
        <v>46</v>
      </c>
      <c r="B1510" t="s">
        <v>28</v>
      </c>
      <c r="C1510" t="s">
        <v>23</v>
      </c>
      <c r="D1510" t="s">
        <v>18</v>
      </c>
      <c r="E1510" s="17">
        <v>15662.7</v>
      </c>
      <c r="F1510" s="17">
        <v>5414.35</v>
      </c>
      <c r="G1510" s="17">
        <v>5414.35</v>
      </c>
    </row>
    <row r="1511" spans="1:7" x14ac:dyDescent="0.3">
      <c r="A1511" t="s">
        <v>46</v>
      </c>
      <c r="B1511" t="s">
        <v>28</v>
      </c>
      <c r="C1511" t="s">
        <v>23</v>
      </c>
      <c r="D1511" t="s">
        <v>19</v>
      </c>
      <c r="E1511" s="17">
        <v>13102.95</v>
      </c>
      <c r="F1511" s="17">
        <v>2468.1799999999998</v>
      </c>
      <c r="G1511" s="17">
        <v>2468.1799999999998</v>
      </c>
    </row>
    <row r="1512" spans="1:7" x14ac:dyDescent="0.3">
      <c r="A1512" t="s">
        <v>46</v>
      </c>
      <c r="B1512" t="s">
        <v>28</v>
      </c>
      <c r="C1512" t="s">
        <v>23</v>
      </c>
      <c r="D1512" t="s">
        <v>20</v>
      </c>
      <c r="E1512" s="17">
        <v>23676.17</v>
      </c>
      <c r="F1512" s="17">
        <v>5316.4700000000012</v>
      </c>
      <c r="G1512" s="17">
        <v>5316.47</v>
      </c>
    </row>
    <row r="1513" spans="1:7" x14ac:dyDescent="0.3">
      <c r="A1513" t="s">
        <v>46</v>
      </c>
      <c r="B1513" t="s">
        <v>28</v>
      </c>
      <c r="C1513" t="s">
        <v>23</v>
      </c>
      <c r="D1513" t="s">
        <v>21</v>
      </c>
      <c r="E1513" s="17">
        <v>22464.33</v>
      </c>
      <c r="F1513" s="17">
        <v>4996.4700000000012</v>
      </c>
      <c r="G1513" s="17">
        <v>4996.47</v>
      </c>
    </row>
    <row r="1514" spans="1:7" x14ac:dyDescent="0.3">
      <c r="A1514" t="s">
        <v>46</v>
      </c>
      <c r="B1514" t="s">
        <v>28</v>
      </c>
      <c r="C1514" t="s">
        <v>24</v>
      </c>
      <c r="D1514" t="s">
        <v>18</v>
      </c>
      <c r="E1514" s="17">
        <v>4328.93</v>
      </c>
      <c r="F1514" s="17">
        <v>1019.46</v>
      </c>
      <c r="G1514" s="17">
        <v>1019.46</v>
      </c>
    </row>
    <row r="1515" spans="1:7" x14ac:dyDescent="0.3">
      <c r="A1515" t="s">
        <v>46</v>
      </c>
      <c r="B1515" t="s">
        <v>28</v>
      </c>
      <c r="C1515" t="s">
        <v>24</v>
      </c>
      <c r="D1515" t="s">
        <v>19</v>
      </c>
      <c r="E1515" s="17">
        <v>6369.64</v>
      </c>
      <c r="F1515" s="17">
        <v>2345.58</v>
      </c>
      <c r="G1515" s="17">
        <v>2345.58</v>
      </c>
    </row>
    <row r="1516" spans="1:7" x14ac:dyDescent="0.3">
      <c r="A1516" t="s">
        <v>46</v>
      </c>
      <c r="B1516" t="s">
        <v>28</v>
      </c>
      <c r="C1516" t="s">
        <v>24</v>
      </c>
      <c r="D1516" t="s">
        <v>20</v>
      </c>
      <c r="E1516" s="17">
        <v>18606.88</v>
      </c>
      <c r="F1516" s="17">
        <v>7016.52</v>
      </c>
      <c r="G1516" s="17">
        <v>7016.52</v>
      </c>
    </row>
    <row r="1517" spans="1:7" x14ac:dyDescent="0.3">
      <c r="A1517" t="s">
        <v>46</v>
      </c>
      <c r="B1517" t="s">
        <v>28</v>
      </c>
      <c r="C1517" t="s">
        <v>24</v>
      </c>
      <c r="D1517" t="s">
        <v>21</v>
      </c>
      <c r="E1517" s="17">
        <v>8101.09</v>
      </c>
      <c r="F1517" s="17">
        <v>2073.9699999999989</v>
      </c>
      <c r="G1517" s="17">
        <v>2073.9699999999998</v>
      </c>
    </row>
    <row r="1518" spans="1:7" x14ac:dyDescent="0.3">
      <c r="A1518" t="s">
        <v>46</v>
      </c>
      <c r="B1518" t="s">
        <v>28</v>
      </c>
      <c r="C1518" t="s">
        <v>25</v>
      </c>
      <c r="D1518" t="s">
        <v>18</v>
      </c>
      <c r="E1518" s="17">
        <v>7463.61</v>
      </c>
      <c r="F1518" s="17">
        <v>1443.47</v>
      </c>
      <c r="G1518" s="17">
        <v>1443.47</v>
      </c>
    </row>
    <row r="1519" spans="1:7" x14ac:dyDescent="0.3">
      <c r="A1519" t="s">
        <v>46</v>
      </c>
      <c r="B1519" t="s">
        <v>28</v>
      </c>
      <c r="C1519" t="s">
        <v>25</v>
      </c>
      <c r="D1519" t="s">
        <v>19</v>
      </c>
      <c r="E1519" s="17">
        <v>15150.71</v>
      </c>
      <c r="F1519" s="17">
        <v>6162.7099999999991</v>
      </c>
      <c r="G1519" s="17">
        <v>6162.71</v>
      </c>
    </row>
    <row r="1520" spans="1:7" x14ac:dyDescent="0.3">
      <c r="A1520" t="s">
        <v>46</v>
      </c>
      <c r="B1520" t="s">
        <v>28</v>
      </c>
      <c r="C1520" t="s">
        <v>25</v>
      </c>
      <c r="D1520" t="s">
        <v>20</v>
      </c>
      <c r="E1520" s="17">
        <v>5532.57</v>
      </c>
      <c r="F1520" s="17">
        <v>1534.87</v>
      </c>
      <c r="G1520" s="17">
        <v>1534.87</v>
      </c>
    </row>
    <row r="1521" spans="1:7" x14ac:dyDescent="0.3">
      <c r="A1521" t="s">
        <v>46</v>
      </c>
      <c r="B1521" t="s">
        <v>28</v>
      </c>
      <c r="C1521" t="s">
        <v>25</v>
      </c>
      <c r="D1521" t="s">
        <v>21</v>
      </c>
      <c r="E1521" s="17">
        <v>11834.94</v>
      </c>
      <c r="F1521" s="17">
        <v>3071.5</v>
      </c>
      <c r="G1521" s="17">
        <v>3071.5</v>
      </c>
    </row>
    <row r="1522" spans="1:7" x14ac:dyDescent="0.3">
      <c r="A1522" t="s">
        <v>47</v>
      </c>
      <c r="B1522" t="s">
        <v>16</v>
      </c>
      <c r="C1522" t="s">
        <v>17</v>
      </c>
      <c r="D1522" t="s">
        <v>18</v>
      </c>
      <c r="E1522" s="17">
        <v>17226.47</v>
      </c>
      <c r="F1522" s="17">
        <v>5892.4599999999991</v>
      </c>
      <c r="G1522" s="17">
        <v>5892.46</v>
      </c>
    </row>
    <row r="1523" spans="1:7" x14ac:dyDescent="0.3">
      <c r="A1523" t="s">
        <v>47</v>
      </c>
      <c r="B1523" t="s">
        <v>16</v>
      </c>
      <c r="C1523" t="s">
        <v>17</v>
      </c>
      <c r="D1523" t="s">
        <v>19</v>
      </c>
      <c r="E1523" s="17">
        <v>6592.52</v>
      </c>
      <c r="F1523" s="17">
        <v>1232.46</v>
      </c>
      <c r="G1523" s="17">
        <v>1232.46</v>
      </c>
    </row>
    <row r="1524" spans="1:7" x14ac:dyDescent="0.3">
      <c r="A1524" t="s">
        <v>47</v>
      </c>
      <c r="B1524" t="s">
        <v>16</v>
      </c>
      <c r="C1524" t="s">
        <v>17</v>
      </c>
      <c r="D1524" t="s">
        <v>20</v>
      </c>
      <c r="E1524" s="17">
        <v>5929.14</v>
      </c>
      <c r="F1524" s="17">
        <v>1534.400000000001</v>
      </c>
      <c r="G1524" s="17">
        <v>1534.4</v>
      </c>
    </row>
    <row r="1525" spans="1:7" x14ac:dyDescent="0.3">
      <c r="A1525" t="s">
        <v>47</v>
      </c>
      <c r="B1525" t="s">
        <v>16</v>
      </c>
      <c r="C1525" t="s">
        <v>17</v>
      </c>
      <c r="D1525" t="s">
        <v>21</v>
      </c>
      <c r="E1525" s="17">
        <v>3884.53</v>
      </c>
      <c r="F1525" s="17">
        <v>1584.18</v>
      </c>
      <c r="G1525" s="17">
        <v>1584.18</v>
      </c>
    </row>
    <row r="1526" spans="1:7" x14ac:dyDescent="0.3">
      <c r="A1526" t="s">
        <v>47</v>
      </c>
      <c r="B1526" t="s">
        <v>16</v>
      </c>
      <c r="C1526" t="s">
        <v>22</v>
      </c>
      <c r="D1526" t="s">
        <v>18</v>
      </c>
      <c r="E1526" s="17">
        <v>9092.1299999999992</v>
      </c>
      <c r="F1526" s="17">
        <v>2612.3200000000002</v>
      </c>
      <c r="G1526" s="17">
        <v>2612.3200000000002</v>
      </c>
    </row>
    <row r="1527" spans="1:7" x14ac:dyDescent="0.3">
      <c r="A1527" t="s">
        <v>47</v>
      </c>
      <c r="B1527" t="s">
        <v>16</v>
      </c>
      <c r="C1527" t="s">
        <v>22</v>
      </c>
      <c r="D1527" t="s">
        <v>19</v>
      </c>
      <c r="E1527" s="17">
        <v>13249.23</v>
      </c>
      <c r="F1527" s="17">
        <v>4749.59</v>
      </c>
      <c r="G1527" s="17">
        <v>4749.59</v>
      </c>
    </row>
    <row r="1528" spans="1:7" x14ac:dyDescent="0.3">
      <c r="A1528" t="s">
        <v>47</v>
      </c>
      <c r="B1528" t="s">
        <v>16</v>
      </c>
      <c r="C1528" t="s">
        <v>22</v>
      </c>
      <c r="D1528" t="s">
        <v>20</v>
      </c>
      <c r="E1528" s="17">
        <v>4096.1499999999996</v>
      </c>
      <c r="F1528" s="17">
        <v>1339.09</v>
      </c>
      <c r="G1528" s="17">
        <v>1339.09</v>
      </c>
    </row>
    <row r="1529" spans="1:7" x14ac:dyDescent="0.3">
      <c r="A1529" t="s">
        <v>47</v>
      </c>
      <c r="B1529" t="s">
        <v>16</v>
      </c>
      <c r="C1529" t="s">
        <v>22</v>
      </c>
      <c r="D1529" t="s">
        <v>21</v>
      </c>
      <c r="E1529" s="17">
        <v>6252.27</v>
      </c>
      <c r="F1529" s="17">
        <v>2620.2199999999998</v>
      </c>
      <c r="G1529" s="17">
        <v>2620.2199999999998</v>
      </c>
    </row>
    <row r="1530" spans="1:7" x14ac:dyDescent="0.3">
      <c r="A1530" t="s">
        <v>47</v>
      </c>
      <c r="B1530" t="s">
        <v>16</v>
      </c>
      <c r="C1530" t="s">
        <v>23</v>
      </c>
      <c r="D1530" t="s">
        <v>18</v>
      </c>
      <c r="E1530" s="17">
        <v>10496.24</v>
      </c>
      <c r="F1530" s="17">
        <v>3152.639999999999</v>
      </c>
      <c r="G1530" s="17">
        <v>3152.64</v>
      </c>
    </row>
    <row r="1531" spans="1:7" x14ac:dyDescent="0.3">
      <c r="A1531" t="s">
        <v>47</v>
      </c>
      <c r="B1531" t="s">
        <v>16</v>
      </c>
      <c r="C1531" t="s">
        <v>23</v>
      </c>
      <c r="D1531" t="s">
        <v>19</v>
      </c>
      <c r="E1531" s="17">
        <v>8055.81</v>
      </c>
      <c r="F1531" s="17">
        <v>2461.58</v>
      </c>
      <c r="G1531" s="17">
        <v>2461.58</v>
      </c>
    </row>
    <row r="1532" spans="1:7" x14ac:dyDescent="0.3">
      <c r="A1532" t="s">
        <v>47</v>
      </c>
      <c r="B1532" t="s">
        <v>16</v>
      </c>
      <c r="C1532" t="s">
        <v>23</v>
      </c>
      <c r="D1532" t="s">
        <v>20</v>
      </c>
      <c r="E1532" s="17">
        <v>7203.57</v>
      </c>
      <c r="F1532" s="17">
        <v>1818.99</v>
      </c>
      <c r="G1532" s="17">
        <v>1818.99</v>
      </c>
    </row>
    <row r="1533" spans="1:7" x14ac:dyDescent="0.3">
      <c r="A1533" t="s">
        <v>47</v>
      </c>
      <c r="B1533" t="s">
        <v>16</v>
      </c>
      <c r="C1533" t="s">
        <v>23</v>
      </c>
      <c r="D1533" t="s">
        <v>21</v>
      </c>
      <c r="E1533" s="17">
        <v>3417.71</v>
      </c>
      <c r="F1533" s="17">
        <v>1309.3399999999999</v>
      </c>
      <c r="G1533" s="17">
        <v>1309.3399999999999</v>
      </c>
    </row>
    <row r="1534" spans="1:7" x14ac:dyDescent="0.3">
      <c r="A1534" t="s">
        <v>47</v>
      </c>
      <c r="B1534" t="s">
        <v>16</v>
      </c>
      <c r="C1534" t="s">
        <v>24</v>
      </c>
      <c r="D1534" t="s">
        <v>18</v>
      </c>
      <c r="E1534" s="17">
        <v>17351.77</v>
      </c>
      <c r="F1534" s="17">
        <v>3524.860000000001</v>
      </c>
      <c r="G1534" s="17">
        <v>3524.86</v>
      </c>
    </row>
    <row r="1535" spans="1:7" x14ac:dyDescent="0.3">
      <c r="A1535" t="s">
        <v>47</v>
      </c>
      <c r="B1535" t="s">
        <v>16</v>
      </c>
      <c r="C1535" t="s">
        <v>24</v>
      </c>
      <c r="D1535" t="s">
        <v>19</v>
      </c>
      <c r="E1535" s="17">
        <v>9907.2000000000007</v>
      </c>
      <c r="F1535" s="17">
        <v>3231.639999999999</v>
      </c>
      <c r="G1535" s="17">
        <v>3231.64</v>
      </c>
    </row>
    <row r="1536" spans="1:7" x14ac:dyDescent="0.3">
      <c r="A1536" t="s">
        <v>47</v>
      </c>
      <c r="B1536" t="s">
        <v>16</v>
      </c>
      <c r="C1536" t="s">
        <v>24</v>
      </c>
      <c r="D1536" t="s">
        <v>20</v>
      </c>
      <c r="E1536" s="17">
        <v>24326.23</v>
      </c>
      <c r="F1536" s="17">
        <v>8252.09</v>
      </c>
      <c r="G1536" s="17">
        <v>8252.09</v>
      </c>
    </row>
    <row r="1537" spans="1:7" x14ac:dyDescent="0.3">
      <c r="A1537" t="s">
        <v>47</v>
      </c>
      <c r="B1537" t="s">
        <v>16</v>
      </c>
      <c r="C1537" t="s">
        <v>24</v>
      </c>
      <c r="D1537" t="s">
        <v>21</v>
      </c>
      <c r="E1537" s="17">
        <v>14732.84</v>
      </c>
      <c r="F1537" s="17">
        <v>5996.49</v>
      </c>
      <c r="G1537" s="17">
        <v>5996.49</v>
      </c>
    </row>
    <row r="1538" spans="1:7" x14ac:dyDescent="0.3">
      <c r="A1538" t="s">
        <v>47</v>
      </c>
      <c r="B1538" t="s">
        <v>16</v>
      </c>
      <c r="C1538" t="s">
        <v>25</v>
      </c>
      <c r="D1538" t="s">
        <v>18</v>
      </c>
      <c r="E1538" s="17">
        <v>20823.32</v>
      </c>
      <c r="F1538" s="17">
        <v>6101.869999999999</v>
      </c>
      <c r="G1538" s="17">
        <v>6101.87</v>
      </c>
    </row>
    <row r="1539" spans="1:7" x14ac:dyDescent="0.3">
      <c r="A1539" t="s">
        <v>47</v>
      </c>
      <c r="B1539" t="s">
        <v>16</v>
      </c>
      <c r="C1539" t="s">
        <v>25</v>
      </c>
      <c r="D1539" t="s">
        <v>19</v>
      </c>
      <c r="E1539" s="17">
        <v>14316.83</v>
      </c>
      <c r="F1539" s="17">
        <v>5928.0500000000011</v>
      </c>
      <c r="G1539" s="17">
        <v>5928.05</v>
      </c>
    </row>
    <row r="1540" spans="1:7" x14ac:dyDescent="0.3">
      <c r="A1540" t="s">
        <v>47</v>
      </c>
      <c r="B1540" t="s">
        <v>16</v>
      </c>
      <c r="C1540" t="s">
        <v>25</v>
      </c>
      <c r="D1540" t="s">
        <v>20</v>
      </c>
      <c r="E1540" s="17">
        <v>12920.96</v>
      </c>
      <c r="F1540" s="17">
        <v>5401.56</v>
      </c>
      <c r="G1540" s="17">
        <v>5401.56</v>
      </c>
    </row>
    <row r="1541" spans="1:7" x14ac:dyDescent="0.3">
      <c r="A1541" t="s">
        <v>47</v>
      </c>
      <c r="B1541" t="s">
        <v>16</v>
      </c>
      <c r="C1541" t="s">
        <v>25</v>
      </c>
      <c r="D1541" t="s">
        <v>21</v>
      </c>
      <c r="E1541" s="17">
        <v>12954.03</v>
      </c>
      <c r="F1541" s="17">
        <v>2607.8799999999992</v>
      </c>
      <c r="G1541" s="17">
        <v>2607.88</v>
      </c>
    </row>
    <row r="1542" spans="1:7" x14ac:dyDescent="0.3">
      <c r="A1542" t="s">
        <v>47</v>
      </c>
      <c r="B1542" t="s">
        <v>26</v>
      </c>
      <c r="C1542" t="s">
        <v>17</v>
      </c>
      <c r="D1542" t="s">
        <v>18</v>
      </c>
      <c r="E1542" s="17">
        <v>22763.88</v>
      </c>
      <c r="F1542" s="17">
        <v>8487.7999999999993</v>
      </c>
      <c r="G1542" s="17">
        <v>8487.7999999999993</v>
      </c>
    </row>
    <row r="1543" spans="1:7" x14ac:dyDescent="0.3">
      <c r="A1543" t="s">
        <v>47</v>
      </c>
      <c r="B1543" t="s">
        <v>26</v>
      </c>
      <c r="C1543" t="s">
        <v>17</v>
      </c>
      <c r="D1543" t="s">
        <v>19</v>
      </c>
      <c r="E1543" s="17">
        <v>13548.33</v>
      </c>
      <c r="F1543" s="17">
        <v>5732.61</v>
      </c>
      <c r="G1543" s="17">
        <v>5732.61</v>
      </c>
    </row>
    <row r="1544" spans="1:7" x14ac:dyDescent="0.3">
      <c r="A1544" t="s">
        <v>47</v>
      </c>
      <c r="B1544" t="s">
        <v>26</v>
      </c>
      <c r="C1544" t="s">
        <v>17</v>
      </c>
      <c r="D1544" t="s">
        <v>20</v>
      </c>
      <c r="E1544" s="17">
        <v>20410.36</v>
      </c>
      <c r="F1544" s="17">
        <v>7407.619999999999</v>
      </c>
      <c r="G1544" s="17">
        <v>7407.62</v>
      </c>
    </row>
    <row r="1545" spans="1:7" x14ac:dyDescent="0.3">
      <c r="A1545" t="s">
        <v>47</v>
      </c>
      <c r="B1545" t="s">
        <v>26</v>
      </c>
      <c r="C1545" t="s">
        <v>17</v>
      </c>
      <c r="D1545" t="s">
        <v>21</v>
      </c>
      <c r="E1545" s="17">
        <v>16266.28</v>
      </c>
      <c r="F1545" s="17">
        <v>3456.1999999999989</v>
      </c>
      <c r="G1545" s="17">
        <v>3456.2</v>
      </c>
    </row>
    <row r="1546" spans="1:7" x14ac:dyDescent="0.3">
      <c r="A1546" t="s">
        <v>47</v>
      </c>
      <c r="B1546" t="s">
        <v>26</v>
      </c>
      <c r="C1546" t="s">
        <v>22</v>
      </c>
      <c r="D1546" t="s">
        <v>18</v>
      </c>
      <c r="E1546" s="17">
        <v>19415.34</v>
      </c>
      <c r="F1546" s="17">
        <v>4401.0200000000004</v>
      </c>
      <c r="G1546" s="17">
        <v>4401.0200000000004</v>
      </c>
    </row>
    <row r="1547" spans="1:7" x14ac:dyDescent="0.3">
      <c r="A1547" t="s">
        <v>47</v>
      </c>
      <c r="B1547" t="s">
        <v>26</v>
      </c>
      <c r="C1547" t="s">
        <v>22</v>
      </c>
      <c r="D1547" t="s">
        <v>19</v>
      </c>
      <c r="E1547" s="17">
        <v>24640.46</v>
      </c>
      <c r="F1547" s="17">
        <v>10903.02</v>
      </c>
      <c r="G1547" s="17">
        <v>10903.02</v>
      </c>
    </row>
    <row r="1548" spans="1:7" x14ac:dyDescent="0.3">
      <c r="A1548" t="s">
        <v>47</v>
      </c>
      <c r="B1548" t="s">
        <v>26</v>
      </c>
      <c r="C1548" t="s">
        <v>22</v>
      </c>
      <c r="D1548" t="s">
        <v>20</v>
      </c>
      <c r="E1548" s="17">
        <v>20594.599999999999</v>
      </c>
      <c r="F1548" s="17">
        <v>4408.6899999999987</v>
      </c>
      <c r="G1548" s="17">
        <v>4408.6899999999996</v>
      </c>
    </row>
    <row r="1549" spans="1:7" x14ac:dyDescent="0.3">
      <c r="A1549" t="s">
        <v>47</v>
      </c>
      <c r="B1549" t="s">
        <v>26</v>
      </c>
      <c r="C1549" t="s">
        <v>22</v>
      </c>
      <c r="D1549" t="s">
        <v>21</v>
      </c>
      <c r="E1549" s="17">
        <v>11737.62</v>
      </c>
      <c r="F1549" s="17">
        <v>5244.79</v>
      </c>
      <c r="G1549" s="17">
        <v>5244.79</v>
      </c>
    </row>
    <row r="1550" spans="1:7" x14ac:dyDescent="0.3">
      <c r="A1550" t="s">
        <v>47</v>
      </c>
      <c r="B1550" t="s">
        <v>26</v>
      </c>
      <c r="C1550" t="s">
        <v>23</v>
      </c>
      <c r="D1550" t="s">
        <v>18</v>
      </c>
      <c r="E1550" s="17">
        <v>12014.04</v>
      </c>
      <c r="F1550" s="17">
        <v>5397.46</v>
      </c>
      <c r="G1550" s="17">
        <v>5397.46</v>
      </c>
    </row>
    <row r="1551" spans="1:7" x14ac:dyDescent="0.3">
      <c r="A1551" t="s">
        <v>47</v>
      </c>
      <c r="B1551" t="s">
        <v>26</v>
      </c>
      <c r="C1551" t="s">
        <v>23</v>
      </c>
      <c r="D1551" t="s">
        <v>19</v>
      </c>
      <c r="E1551" s="17">
        <v>16426.2</v>
      </c>
      <c r="F1551" s="17">
        <v>6656.0499999999993</v>
      </c>
      <c r="G1551" s="17">
        <v>6656.05</v>
      </c>
    </row>
    <row r="1552" spans="1:7" x14ac:dyDescent="0.3">
      <c r="A1552" t="s">
        <v>47</v>
      </c>
      <c r="B1552" t="s">
        <v>26</v>
      </c>
      <c r="C1552" t="s">
        <v>23</v>
      </c>
      <c r="D1552" t="s">
        <v>20</v>
      </c>
      <c r="E1552" s="17">
        <v>7931.39</v>
      </c>
      <c r="F1552" s="17">
        <v>3378.12</v>
      </c>
      <c r="G1552" s="17">
        <v>3378.12</v>
      </c>
    </row>
    <row r="1553" spans="1:7" x14ac:dyDescent="0.3">
      <c r="A1553" t="s">
        <v>47</v>
      </c>
      <c r="B1553" t="s">
        <v>26</v>
      </c>
      <c r="C1553" t="s">
        <v>23</v>
      </c>
      <c r="D1553" t="s">
        <v>21</v>
      </c>
      <c r="E1553" s="17">
        <v>23026</v>
      </c>
      <c r="F1553" s="17">
        <v>4561.2900000000009</v>
      </c>
      <c r="G1553" s="17">
        <v>4561.29</v>
      </c>
    </row>
    <row r="1554" spans="1:7" x14ac:dyDescent="0.3">
      <c r="A1554" t="s">
        <v>47</v>
      </c>
      <c r="B1554" t="s">
        <v>26</v>
      </c>
      <c r="C1554" t="s">
        <v>24</v>
      </c>
      <c r="D1554" t="s">
        <v>18</v>
      </c>
      <c r="E1554" s="17">
        <v>10926.28</v>
      </c>
      <c r="F1554" s="17">
        <v>3138.9699999999989</v>
      </c>
      <c r="G1554" s="17">
        <v>3138.97</v>
      </c>
    </row>
    <row r="1555" spans="1:7" x14ac:dyDescent="0.3">
      <c r="A1555" t="s">
        <v>47</v>
      </c>
      <c r="B1555" t="s">
        <v>26</v>
      </c>
      <c r="C1555" t="s">
        <v>24</v>
      </c>
      <c r="D1555" t="s">
        <v>19</v>
      </c>
      <c r="E1555" s="17">
        <v>9500.92</v>
      </c>
      <c r="F1555" s="17">
        <v>2418.690000000001</v>
      </c>
      <c r="G1555" s="17">
        <v>2418.69</v>
      </c>
    </row>
    <row r="1556" spans="1:7" x14ac:dyDescent="0.3">
      <c r="A1556" t="s">
        <v>47</v>
      </c>
      <c r="B1556" t="s">
        <v>26</v>
      </c>
      <c r="C1556" t="s">
        <v>24</v>
      </c>
      <c r="D1556" t="s">
        <v>20</v>
      </c>
      <c r="E1556" s="17">
        <v>12537.62</v>
      </c>
      <c r="F1556" s="17">
        <v>5213.59</v>
      </c>
      <c r="G1556" s="17">
        <v>5213.59</v>
      </c>
    </row>
    <row r="1557" spans="1:7" x14ac:dyDescent="0.3">
      <c r="A1557" t="s">
        <v>47</v>
      </c>
      <c r="B1557" t="s">
        <v>26</v>
      </c>
      <c r="C1557" t="s">
        <v>24</v>
      </c>
      <c r="D1557" t="s">
        <v>21</v>
      </c>
      <c r="E1557" s="17">
        <v>20090.66</v>
      </c>
      <c r="F1557" s="17">
        <v>6996.08</v>
      </c>
      <c r="G1557" s="17">
        <v>6996.08</v>
      </c>
    </row>
    <row r="1558" spans="1:7" x14ac:dyDescent="0.3">
      <c r="A1558" t="s">
        <v>47</v>
      </c>
      <c r="B1558" t="s">
        <v>26</v>
      </c>
      <c r="C1558" t="s">
        <v>25</v>
      </c>
      <c r="D1558" t="s">
        <v>18</v>
      </c>
      <c r="E1558" s="17">
        <v>14018.93</v>
      </c>
      <c r="F1558" s="17">
        <v>4111.619999999999</v>
      </c>
      <c r="G1558" s="17">
        <v>4111.62</v>
      </c>
    </row>
    <row r="1559" spans="1:7" x14ac:dyDescent="0.3">
      <c r="A1559" t="s">
        <v>47</v>
      </c>
      <c r="B1559" t="s">
        <v>26</v>
      </c>
      <c r="C1559" t="s">
        <v>25</v>
      </c>
      <c r="D1559" t="s">
        <v>19</v>
      </c>
      <c r="E1559" s="17">
        <v>11532.18</v>
      </c>
      <c r="F1559" s="17">
        <v>2537.2399999999998</v>
      </c>
      <c r="G1559" s="17">
        <v>2537.2399999999998</v>
      </c>
    </row>
    <row r="1560" spans="1:7" x14ac:dyDescent="0.3">
      <c r="A1560" t="s">
        <v>47</v>
      </c>
      <c r="B1560" t="s">
        <v>26</v>
      </c>
      <c r="C1560" t="s">
        <v>25</v>
      </c>
      <c r="D1560" t="s">
        <v>20</v>
      </c>
      <c r="E1560" s="17">
        <v>15522.49</v>
      </c>
      <c r="F1560" s="17">
        <v>5972.4600000000009</v>
      </c>
      <c r="G1560" s="17">
        <v>5972.46</v>
      </c>
    </row>
    <row r="1561" spans="1:7" x14ac:dyDescent="0.3">
      <c r="A1561" t="s">
        <v>47</v>
      </c>
      <c r="B1561" t="s">
        <v>26</v>
      </c>
      <c r="C1561" t="s">
        <v>25</v>
      </c>
      <c r="D1561" t="s">
        <v>21</v>
      </c>
      <c r="E1561" s="17">
        <v>23611.95</v>
      </c>
      <c r="F1561" s="17">
        <v>10146.780000000001</v>
      </c>
      <c r="G1561" s="17">
        <v>10146.780000000001</v>
      </c>
    </row>
    <row r="1562" spans="1:7" x14ac:dyDescent="0.3">
      <c r="A1562" t="s">
        <v>47</v>
      </c>
      <c r="B1562" t="s">
        <v>27</v>
      </c>
      <c r="C1562" t="s">
        <v>17</v>
      </c>
      <c r="D1562" t="s">
        <v>18</v>
      </c>
      <c r="E1562" s="17">
        <v>14941.73</v>
      </c>
      <c r="F1562" s="17">
        <v>3096.93</v>
      </c>
      <c r="G1562" s="17">
        <v>3096.93</v>
      </c>
    </row>
    <row r="1563" spans="1:7" x14ac:dyDescent="0.3">
      <c r="A1563" t="s">
        <v>47</v>
      </c>
      <c r="B1563" t="s">
        <v>27</v>
      </c>
      <c r="C1563" t="s">
        <v>17</v>
      </c>
      <c r="D1563" t="s">
        <v>19</v>
      </c>
      <c r="E1563" s="17">
        <v>8580.14</v>
      </c>
      <c r="F1563" s="17">
        <v>2785.29</v>
      </c>
      <c r="G1563" s="17">
        <v>2785.29</v>
      </c>
    </row>
    <row r="1564" spans="1:7" x14ac:dyDescent="0.3">
      <c r="A1564" t="s">
        <v>47</v>
      </c>
      <c r="B1564" t="s">
        <v>27</v>
      </c>
      <c r="C1564" t="s">
        <v>17</v>
      </c>
      <c r="D1564" t="s">
        <v>20</v>
      </c>
      <c r="E1564" s="17">
        <v>9908.99</v>
      </c>
      <c r="F1564" s="17">
        <v>2882.92</v>
      </c>
      <c r="G1564" s="17">
        <v>2882.92</v>
      </c>
    </row>
    <row r="1565" spans="1:7" x14ac:dyDescent="0.3">
      <c r="A1565" t="s">
        <v>47</v>
      </c>
      <c r="B1565" t="s">
        <v>27</v>
      </c>
      <c r="C1565" t="s">
        <v>17</v>
      </c>
      <c r="D1565" t="s">
        <v>21</v>
      </c>
      <c r="E1565" s="17">
        <v>10810</v>
      </c>
      <c r="F1565" s="17">
        <v>3363.08</v>
      </c>
      <c r="G1565" s="17">
        <v>3363.08</v>
      </c>
    </row>
    <row r="1566" spans="1:7" x14ac:dyDescent="0.3">
      <c r="A1566" t="s">
        <v>47</v>
      </c>
      <c r="B1566" t="s">
        <v>27</v>
      </c>
      <c r="C1566" t="s">
        <v>22</v>
      </c>
      <c r="D1566" t="s">
        <v>18</v>
      </c>
      <c r="E1566" s="17">
        <v>16006.13</v>
      </c>
      <c r="F1566" s="17">
        <v>3043.02</v>
      </c>
      <c r="G1566" s="17">
        <v>3043.02</v>
      </c>
    </row>
    <row r="1567" spans="1:7" x14ac:dyDescent="0.3">
      <c r="A1567" t="s">
        <v>47</v>
      </c>
      <c r="B1567" t="s">
        <v>27</v>
      </c>
      <c r="C1567" t="s">
        <v>22</v>
      </c>
      <c r="D1567" t="s">
        <v>19</v>
      </c>
      <c r="E1567" s="17">
        <v>8334.5300000000007</v>
      </c>
      <c r="F1567" s="17">
        <v>1823.93</v>
      </c>
      <c r="G1567" s="17">
        <v>1823.93</v>
      </c>
    </row>
    <row r="1568" spans="1:7" x14ac:dyDescent="0.3">
      <c r="A1568" t="s">
        <v>47</v>
      </c>
      <c r="B1568" t="s">
        <v>27</v>
      </c>
      <c r="C1568" t="s">
        <v>22</v>
      </c>
      <c r="D1568" t="s">
        <v>20</v>
      </c>
      <c r="E1568" s="17">
        <v>15999.07</v>
      </c>
      <c r="F1568" s="17">
        <v>5876.2799999999988</v>
      </c>
      <c r="G1568" s="17">
        <v>5876.28</v>
      </c>
    </row>
    <row r="1569" spans="1:7" x14ac:dyDescent="0.3">
      <c r="A1569" t="s">
        <v>47</v>
      </c>
      <c r="B1569" t="s">
        <v>27</v>
      </c>
      <c r="C1569" t="s">
        <v>22</v>
      </c>
      <c r="D1569" t="s">
        <v>21</v>
      </c>
      <c r="E1569" s="17">
        <v>2892</v>
      </c>
      <c r="F1569" s="17">
        <v>1215.18</v>
      </c>
      <c r="G1569" s="17">
        <v>1215.18</v>
      </c>
    </row>
    <row r="1570" spans="1:7" x14ac:dyDescent="0.3">
      <c r="A1570" t="s">
        <v>47</v>
      </c>
      <c r="B1570" t="s">
        <v>27</v>
      </c>
      <c r="C1570" t="s">
        <v>23</v>
      </c>
      <c r="D1570" t="s">
        <v>18</v>
      </c>
      <c r="E1570" s="17">
        <v>9624.36</v>
      </c>
      <c r="F1570" s="17">
        <v>2349.75</v>
      </c>
      <c r="G1570" s="17">
        <v>2349.75</v>
      </c>
    </row>
    <row r="1571" spans="1:7" x14ac:dyDescent="0.3">
      <c r="A1571" t="s">
        <v>47</v>
      </c>
      <c r="B1571" t="s">
        <v>27</v>
      </c>
      <c r="C1571" t="s">
        <v>23</v>
      </c>
      <c r="D1571" t="s">
        <v>19</v>
      </c>
      <c r="E1571" s="17">
        <v>19152.25</v>
      </c>
      <c r="F1571" s="17">
        <v>8209.14</v>
      </c>
      <c r="G1571" s="17">
        <v>8209.14</v>
      </c>
    </row>
    <row r="1572" spans="1:7" x14ac:dyDescent="0.3">
      <c r="A1572" t="s">
        <v>47</v>
      </c>
      <c r="B1572" t="s">
        <v>27</v>
      </c>
      <c r="C1572" t="s">
        <v>23</v>
      </c>
      <c r="D1572" t="s">
        <v>20</v>
      </c>
      <c r="E1572" s="17">
        <v>22631.72</v>
      </c>
      <c r="F1572" s="17">
        <v>4197.34</v>
      </c>
      <c r="G1572" s="17">
        <v>4197.34</v>
      </c>
    </row>
    <row r="1573" spans="1:7" x14ac:dyDescent="0.3">
      <c r="A1573" t="s">
        <v>47</v>
      </c>
      <c r="B1573" t="s">
        <v>27</v>
      </c>
      <c r="C1573" t="s">
        <v>23</v>
      </c>
      <c r="D1573" t="s">
        <v>21</v>
      </c>
      <c r="E1573" s="17">
        <v>20799.88</v>
      </c>
      <c r="F1573" s="17">
        <v>5445.93</v>
      </c>
      <c r="G1573" s="17">
        <v>5445.93</v>
      </c>
    </row>
    <row r="1574" spans="1:7" x14ac:dyDescent="0.3">
      <c r="A1574" t="s">
        <v>47</v>
      </c>
      <c r="B1574" t="s">
        <v>27</v>
      </c>
      <c r="C1574" t="s">
        <v>24</v>
      </c>
      <c r="D1574" t="s">
        <v>18</v>
      </c>
      <c r="E1574" s="17">
        <v>8447.9699999999993</v>
      </c>
      <c r="F1574" s="17">
        <v>2641.99</v>
      </c>
      <c r="G1574" s="17">
        <v>2641.99</v>
      </c>
    </row>
    <row r="1575" spans="1:7" x14ac:dyDescent="0.3">
      <c r="A1575" t="s">
        <v>47</v>
      </c>
      <c r="B1575" t="s">
        <v>27</v>
      </c>
      <c r="C1575" t="s">
        <v>24</v>
      </c>
      <c r="D1575" t="s">
        <v>19</v>
      </c>
      <c r="E1575" s="17">
        <v>18012.21</v>
      </c>
      <c r="F1575" s="17">
        <v>3719.860000000001</v>
      </c>
      <c r="G1575" s="17">
        <v>3719.86</v>
      </c>
    </row>
    <row r="1576" spans="1:7" x14ac:dyDescent="0.3">
      <c r="A1576" t="s">
        <v>47</v>
      </c>
      <c r="B1576" t="s">
        <v>27</v>
      </c>
      <c r="C1576" t="s">
        <v>24</v>
      </c>
      <c r="D1576" t="s">
        <v>20</v>
      </c>
      <c r="E1576" s="17">
        <v>21984.7</v>
      </c>
      <c r="F1576" s="17">
        <v>4754.9399999999987</v>
      </c>
      <c r="G1576" s="17">
        <v>4754.9399999999996</v>
      </c>
    </row>
    <row r="1577" spans="1:7" x14ac:dyDescent="0.3">
      <c r="A1577" t="s">
        <v>47</v>
      </c>
      <c r="B1577" t="s">
        <v>27</v>
      </c>
      <c r="C1577" t="s">
        <v>24</v>
      </c>
      <c r="D1577" t="s">
        <v>21</v>
      </c>
      <c r="E1577" s="17">
        <v>24407.05</v>
      </c>
      <c r="F1577" s="17">
        <v>7313.3299999999981</v>
      </c>
      <c r="G1577" s="17">
        <v>7313.33</v>
      </c>
    </row>
    <row r="1578" spans="1:7" x14ac:dyDescent="0.3">
      <c r="A1578" t="s">
        <v>47</v>
      </c>
      <c r="B1578" t="s">
        <v>27</v>
      </c>
      <c r="C1578" t="s">
        <v>25</v>
      </c>
      <c r="D1578" t="s">
        <v>18</v>
      </c>
      <c r="E1578" s="17">
        <v>20993.94</v>
      </c>
      <c r="F1578" s="17">
        <v>5306.08</v>
      </c>
      <c r="G1578" s="17">
        <v>5306.08</v>
      </c>
    </row>
    <row r="1579" spans="1:7" x14ac:dyDescent="0.3">
      <c r="A1579" t="s">
        <v>47</v>
      </c>
      <c r="B1579" t="s">
        <v>27</v>
      </c>
      <c r="C1579" t="s">
        <v>25</v>
      </c>
      <c r="D1579" t="s">
        <v>19</v>
      </c>
      <c r="E1579" s="17">
        <v>11585.77</v>
      </c>
      <c r="F1579" s="17">
        <v>4104.84</v>
      </c>
      <c r="G1579" s="17">
        <v>4104.84</v>
      </c>
    </row>
    <row r="1580" spans="1:7" x14ac:dyDescent="0.3">
      <c r="A1580" t="s">
        <v>47</v>
      </c>
      <c r="B1580" t="s">
        <v>27</v>
      </c>
      <c r="C1580" t="s">
        <v>25</v>
      </c>
      <c r="D1580" t="s">
        <v>20</v>
      </c>
      <c r="E1580" s="17">
        <v>6322.52</v>
      </c>
      <c r="F1580" s="17">
        <v>1498.91</v>
      </c>
      <c r="G1580" s="17">
        <v>1498.91</v>
      </c>
    </row>
    <row r="1581" spans="1:7" x14ac:dyDescent="0.3">
      <c r="A1581" t="s">
        <v>47</v>
      </c>
      <c r="B1581" t="s">
        <v>27</v>
      </c>
      <c r="C1581" t="s">
        <v>25</v>
      </c>
      <c r="D1581" t="s">
        <v>21</v>
      </c>
      <c r="E1581" s="17">
        <v>20951.3</v>
      </c>
      <c r="F1581" s="17">
        <v>7962.65</v>
      </c>
      <c r="G1581" s="17">
        <v>7962.65</v>
      </c>
    </row>
    <row r="1582" spans="1:7" x14ac:dyDescent="0.3">
      <c r="A1582" t="s">
        <v>47</v>
      </c>
      <c r="B1582" t="s">
        <v>28</v>
      </c>
      <c r="C1582" t="s">
        <v>17</v>
      </c>
      <c r="D1582" t="s">
        <v>18</v>
      </c>
      <c r="E1582" s="17">
        <v>19468.349999999999</v>
      </c>
      <c r="F1582" s="17">
        <v>8062.6399999999994</v>
      </c>
      <c r="G1582" s="17">
        <v>8062.64</v>
      </c>
    </row>
    <row r="1583" spans="1:7" x14ac:dyDescent="0.3">
      <c r="A1583" t="s">
        <v>47</v>
      </c>
      <c r="B1583" t="s">
        <v>28</v>
      </c>
      <c r="C1583" t="s">
        <v>17</v>
      </c>
      <c r="D1583" t="s">
        <v>19</v>
      </c>
      <c r="E1583" s="17">
        <v>20883.400000000001</v>
      </c>
      <c r="F1583" s="17">
        <v>6664.369999999999</v>
      </c>
      <c r="G1583" s="17">
        <v>6664.37</v>
      </c>
    </row>
    <row r="1584" spans="1:7" x14ac:dyDescent="0.3">
      <c r="A1584" t="s">
        <v>47</v>
      </c>
      <c r="B1584" t="s">
        <v>28</v>
      </c>
      <c r="C1584" t="s">
        <v>17</v>
      </c>
      <c r="D1584" t="s">
        <v>20</v>
      </c>
      <c r="E1584" s="17">
        <v>5656.37</v>
      </c>
      <c r="F1584" s="17">
        <v>1493.3</v>
      </c>
      <c r="G1584" s="17">
        <v>1493.3</v>
      </c>
    </row>
    <row r="1585" spans="1:7" x14ac:dyDescent="0.3">
      <c r="A1585" t="s">
        <v>47</v>
      </c>
      <c r="B1585" t="s">
        <v>28</v>
      </c>
      <c r="C1585" t="s">
        <v>17</v>
      </c>
      <c r="D1585" t="s">
        <v>21</v>
      </c>
      <c r="E1585" s="17">
        <v>13656.29</v>
      </c>
      <c r="F1585" s="17">
        <v>2958.2999999999988</v>
      </c>
      <c r="G1585" s="17">
        <v>2958.3</v>
      </c>
    </row>
    <row r="1586" spans="1:7" x14ac:dyDescent="0.3">
      <c r="A1586" t="s">
        <v>47</v>
      </c>
      <c r="B1586" t="s">
        <v>28</v>
      </c>
      <c r="C1586" t="s">
        <v>22</v>
      </c>
      <c r="D1586" t="s">
        <v>18</v>
      </c>
      <c r="E1586" s="17">
        <v>21579.79</v>
      </c>
      <c r="F1586" s="17">
        <v>9007.83</v>
      </c>
      <c r="G1586" s="17">
        <v>9007.83</v>
      </c>
    </row>
    <row r="1587" spans="1:7" x14ac:dyDescent="0.3">
      <c r="A1587" t="s">
        <v>47</v>
      </c>
      <c r="B1587" t="s">
        <v>28</v>
      </c>
      <c r="C1587" t="s">
        <v>22</v>
      </c>
      <c r="D1587" t="s">
        <v>19</v>
      </c>
      <c r="E1587" s="17">
        <v>2665.81</v>
      </c>
      <c r="F1587" s="17">
        <v>618.59000000000015</v>
      </c>
      <c r="G1587" s="17">
        <v>618.59</v>
      </c>
    </row>
    <row r="1588" spans="1:7" x14ac:dyDescent="0.3">
      <c r="A1588" t="s">
        <v>47</v>
      </c>
      <c r="B1588" t="s">
        <v>28</v>
      </c>
      <c r="C1588" t="s">
        <v>22</v>
      </c>
      <c r="D1588" t="s">
        <v>20</v>
      </c>
      <c r="E1588" s="17">
        <v>21157.39</v>
      </c>
      <c r="F1588" s="17">
        <v>8589.56</v>
      </c>
      <c r="G1588" s="17">
        <v>8589.56</v>
      </c>
    </row>
    <row r="1589" spans="1:7" x14ac:dyDescent="0.3">
      <c r="A1589" t="s">
        <v>47</v>
      </c>
      <c r="B1589" t="s">
        <v>28</v>
      </c>
      <c r="C1589" t="s">
        <v>22</v>
      </c>
      <c r="D1589" t="s">
        <v>21</v>
      </c>
      <c r="E1589" s="17">
        <v>7738.28</v>
      </c>
      <c r="F1589" s="17">
        <v>2346.56</v>
      </c>
      <c r="G1589" s="17">
        <v>2346.56</v>
      </c>
    </row>
    <row r="1590" spans="1:7" x14ac:dyDescent="0.3">
      <c r="A1590" t="s">
        <v>47</v>
      </c>
      <c r="B1590" t="s">
        <v>28</v>
      </c>
      <c r="C1590" t="s">
        <v>23</v>
      </c>
      <c r="D1590" t="s">
        <v>18</v>
      </c>
      <c r="E1590" s="17">
        <v>23114.71</v>
      </c>
      <c r="F1590" s="17">
        <v>8558.25</v>
      </c>
      <c r="G1590" s="17">
        <v>8558.25</v>
      </c>
    </row>
    <row r="1591" spans="1:7" x14ac:dyDescent="0.3">
      <c r="A1591" t="s">
        <v>47</v>
      </c>
      <c r="B1591" t="s">
        <v>28</v>
      </c>
      <c r="C1591" t="s">
        <v>23</v>
      </c>
      <c r="D1591" t="s">
        <v>19</v>
      </c>
      <c r="E1591" s="17">
        <v>8301.48</v>
      </c>
      <c r="F1591" s="17">
        <v>3340.07</v>
      </c>
      <c r="G1591" s="17">
        <v>3340.07</v>
      </c>
    </row>
    <row r="1592" spans="1:7" x14ac:dyDescent="0.3">
      <c r="A1592" t="s">
        <v>47</v>
      </c>
      <c r="B1592" t="s">
        <v>28</v>
      </c>
      <c r="C1592" t="s">
        <v>23</v>
      </c>
      <c r="D1592" t="s">
        <v>20</v>
      </c>
      <c r="E1592" s="17">
        <v>13617.91</v>
      </c>
      <c r="F1592" s="17">
        <v>4787.5200000000004</v>
      </c>
      <c r="G1592" s="17">
        <v>4787.5200000000004</v>
      </c>
    </row>
    <row r="1593" spans="1:7" x14ac:dyDescent="0.3">
      <c r="A1593" t="s">
        <v>47</v>
      </c>
      <c r="B1593" t="s">
        <v>28</v>
      </c>
      <c r="C1593" t="s">
        <v>23</v>
      </c>
      <c r="D1593" t="s">
        <v>21</v>
      </c>
      <c r="E1593" s="17">
        <v>4849.08</v>
      </c>
      <c r="F1593" s="17">
        <v>912.84999999999991</v>
      </c>
      <c r="G1593" s="17">
        <v>912.85</v>
      </c>
    </row>
    <row r="1594" spans="1:7" x14ac:dyDescent="0.3">
      <c r="A1594" t="s">
        <v>47</v>
      </c>
      <c r="B1594" t="s">
        <v>28</v>
      </c>
      <c r="C1594" t="s">
        <v>24</v>
      </c>
      <c r="D1594" t="s">
        <v>18</v>
      </c>
      <c r="E1594" s="17">
        <v>10566.74</v>
      </c>
      <c r="F1594" s="17">
        <v>3596.83</v>
      </c>
      <c r="G1594" s="17">
        <v>3596.83</v>
      </c>
    </row>
    <row r="1595" spans="1:7" x14ac:dyDescent="0.3">
      <c r="A1595" t="s">
        <v>47</v>
      </c>
      <c r="B1595" t="s">
        <v>28</v>
      </c>
      <c r="C1595" t="s">
        <v>24</v>
      </c>
      <c r="D1595" t="s">
        <v>19</v>
      </c>
      <c r="E1595" s="17">
        <v>6084.42</v>
      </c>
      <c r="F1595" s="17">
        <v>2525.2199999999998</v>
      </c>
      <c r="G1595" s="17">
        <v>2525.2199999999998</v>
      </c>
    </row>
    <row r="1596" spans="1:7" x14ac:dyDescent="0.3">
      <c r="A1596" t="s">
        <v>47</v>
      </c>
      <c r="B1596" t="s">
        <v>28</v>
      </c>
      <c r="C1596" t="s">
        <v>24</v>
      </c>
      <c r="D1596" t="s">
        <v>20</v>
      </c>
      <c r="E1596" s="17">
        <v>15498.25</v>
      </c>
      <c r="F1596" s="17">
        <v>4253.26</v>
      </c>
      <c r="G1596" s="17">
        <v>4253.26</v>
      </c>
    </row>
    <row r="1597" spans="1:7" x14ac:dyDescent="0.3">
      <c r="A1597" t="s">
        <v>47</v>
      </c>
      <c r="B1597" t="s">
        <v>28</v>
      </c>
      <c r="C1597" t="s">
        <v>24</v>
      </c>
      <c r="D1597" t="s">
        <v>21</v>
      </c>
      <c r="E1597" s="17">
        <v>5760.81</v>
      </c>
      <c r="F1597" s="17">
        <v>2428.2600000000002</v>
      </c>
      <c r="G1597" s="17">
        <v>2428.2600000000002</v>
      </c>
    </row>
    <row r="1598" spans="1:7" x14ac:dyDescent="0.3">
      <c r="A1598" t="s">
        <v>47</v>
      </c>
      <c r="B1598" t="s">
        <v>28</v>
      </c>
      <c r="C1598" t="s">
        <v>25</v>
      </c>
      <c r="D1598" t="s">
        <v>18</v>
      </c>
      <c r="E1598" s="17">
        <v>19226.11</v>
      </c>
      <c r="F1598" s="17">
        <v>7036.5600000000013</v>
      </c>
      <c r="G1598" s="17">
        <v>7036.56</v>
      </c>
    </row>
    <row r="1599" spans="1:7" x14ac:dyDescent="0.3">
      <c r="A1599" t="s">
        <v>47</v>
      </c>
      <c r="B1599" t="s">
        <v>28</v>
      </c>
      <c r="C1599" t="s">
        <v>25</v>
      </c>
      <c r="D1599" t="s">
        <v>19</v>
      </c>
      <c r="E1599" s="17">
        <v>8556.6</v>
      </c>
      <c r="F1599" s="17">
        <v>2433.2600000000002</v>
      </c>
      <c r="G1599" s="17">
        <v>2433.2600000000002</v>
      </c>
    </row>
    <row r="1600" spans="1:7" x14ac:dyDescent="0.3">
      <c r="A1600" t="s">
        <v>47</v>
      </c>
      <c r="B1600" t="s">
        <v>28</v>
      </c>
      <c r="C1600" t="s">
        <v>25</v>
      </c>
      <c r="D1600" t="s">
        <v>20</v>
      </c>
      <c r="E1600" s="17">
        <v>5746.87</v>
      </c>
      <c r="F1600" s="17">
        <v>1922.38</v>
      </c>
      <c r="G1600" s="17">
        <v>1922.38</v>
      </c>
    </row>
    <row r="1601" spans="1:7" x14ac:dyDescent="0.3">
      <c r="A1601" t="s">
        <v>47</v>
      </c>
      <c r="B1601" t="s">
        <v>28</v>
      </c>
      <c r="C1601" t="s">
        <v>25</v>
      </c>
      <c r="D1601" t="s">
        <v>21</v>
      </c>
      <c r="E1601" s="17">
        <v>24193.11</v>
      </c>
      <c r="F1601" s="17">
        <v>9953.5300000000007</v>
      </c>
      <c r="G1601" s="17">
        <v>9953.5300000000007</v>
      </c>
    </row>
    <row r="1602" spans="1:7" x14ac:dyDescent="0.3">
      <c r="A1602" t="s">
        <v>48</v>
      </c>
      <c r="B1602" t="s">
        <v>16</v>
      </c>
      <c r="C1602" t="s">
        <v>17</v>
      </c>
      <c r="D1602" t="s">
        <v>18</v>
      </c>
      <c r="E1602" s="17">
        <v>16889.740000000002</v>
      </c>
      <c r="F1602" s="17">
        <v>6130.6</v>
      </c>
      <c r="G1602" s="17">
        <v>6130.6</v>
      </c>
    </row>
    <row r="1603" spans="1:7" x14ac:dyDescent="0.3">
      <c r="A1603" t="s">
        <v>48</v>
      </c>
      <c r="B1603" t="s">
        <v>16</v>
      </c>
      <c r="C1603" t="s">
        <v>17</v>
      </c>
      <c r="D1603" t="s">
        <v>19</v>
      </c>
      <c r="E1603" s="17">
        <v>8188.92</v>
      </c>
      <c r="F1603" s="17">
        <v>2379.4299999999998</v>
      </c>
      <c r="G1603" s="17">
        <v>2379.4299999999998</v>
      </c>
    </row>
    <row r="1604" spans="1:7" x14ac:dyDescent="0.3">
      <c r="A1604" t="s">
        <v>48</v>
      </c>
      <c r="B1604" t="s">
        <v>16</v>
      </c>
      <c r="C1604" t="s">
        <v>17</v>
      </c>
      <c r="D1604" t="s">
        <v>20</v>
      </c>
      <c r="E1604" s="17">
        <v>2461.1999999999998</v>
      </c>
      <c r="F1604" s="17">
        <v>961.55</v>
      </c>
      <c r="G1604" s="17">
        <v>961.55</v>
      </c>
    </row>
    <row r="1605" spans="1:7" x14ac:dyDescent="0.3">
      <c r="A1605" t="s">
        <v>48</v>
      </c>
      <c r="B1605" t="s">
        <v>16</v>
      </c>
      <c r="C1605" t="s">
        <v>17</v>
      </c>
      <c r="D1605" t="s">
        <v>21</v>
      </c>
      <c r="E1605" s="17">
        <v>19654.169999999998</v>
      </c>
      <c r="F1605" s="17">
        <v>3584.9699999999989</v>
      </c>
      <c r="G1605" s="17">
        <v>3584.97</v>
      </c>
    </row>
    <row r="1606" spans="1:7" x14ac:dyDescent="0.3">
      <c r="A1606" t="s">
        <v>48</v>
      </c>
      <c r="B1606" t="s">
        <v>16</v>
      </c>
      <c r="C1606" t="s">
        <v>22</v>
      </c>
      <c r="D1606" t="s">
        <v>18</v>
      </c>
      <c r="E1606" s="17">
        <v>22964.86</v>
      </c>
      <c r="F1606" s="17">
        <v>8147.7099999999991</v>
      </c>
      <c r="G1606" s="17">
        <v>8147.71</v>
      </c>
    </row>
    <row r="1607" spans="1:7" x14ac:dyDescent="0.3">
      <c r="A1607" t="s">
        <v>48</v>
      </c>
      <c r="B1607" t="s">
        <v>16</v>
      </c>
      <c r="C1607" t="s">
        <v>22</v>
      </c>
      <c r="D1607" t="s">
        <v>19</v>
      </c>
      <c r="E1607" s="17">
        <v>15826.26</v>
      </c>
      <c r="F1607" s="17">
        <v>2884.889999999999</v>
      </c>
      <c r="G1607" s="17">
        <v>2884.89</v>
      </c>
    </row>
    <row r="1608" spans="1:7" x14ac:dyDescent="0.3">
      <c r="A1608" t="s">
        <v>48</v>
      </c>
      <c r="B1608" t="s">
        <v>16</v>
      </c>
      <c r="C1608" t="s">
        <v>22</v>
      </c>
      <c r="D1608" t="s">
        <v>20</v>
      </c>
      <c r="E1608" s="17">
        <v>7804.98</v>
      </c>
      <c r="F1608" s="17">
        <v>3101.49</v>
      </c>
      <c r="G1608" s="17">
        <v>3101.49</v>
      </c>
    </row>
    <row r="1609" spans="1:7" x14ac:dyDescent="0.3">
      <c r="A1609" t="s">
        <v>48</v>
      </c>
      <c r="B1609" t="s">
        <v>16</v>
      </c>
      <c r="C1609" t="s">
        <v>22</v>
      </c>
      <c r="D1609" t="s">
        <v>21</v>
      </c>
      <c r="E1609" s="17">
        <v>9025.57</v>
      </c>
      <c r="F1609" s="17">
        <v>3981.15</v>
      </c>
      <c r="G1609" s="17">
        <v>3981.15</v>
      </c>
    </row>
    <row r="1610" spans="1:7" x14ac:dyDescent="0.3">
      <c r="A1610" t="s">
        <v>48</v>
      </c>
      <c r="B1610" t="s">
        <v>16</v>
      </c>
      <c r="C1610" t="s">
        <v>23</v>
      </c>
      <c r="D1610" t="s">
        <v>18</v>
      </c>
      <c r="E1610" s="17">
        <v>16783.03</v>
      </c>
      <c r="F1610" s="17">
        <v>4941.3899999999994</v>
      </c>
      <c r="G1610" s="17">
        <v>4941.3900000000003</v>
      </c>
    </row>
    <row r="1611" spans="1:7" x14ac:dyDescent="0.3">
      <c r="A1611" t="s">
        <v>48</v>
      </c>
      <c r="B1611" t="s">
        <v>16</v>
      </c>
      <c r="C1611" t="s">
        <v>23</v>
      </c>
      <c r="D1611" t="s">
        <v>19</v>
      </c>
      <c r="E1611" s="17">
        <v>10658.94</v>
      </c>
      <c r="F1611" s="17">
        <v>2922.16</v>
      </c>
      <c r="G1611" s="17">
        <v>2922.16</v>
      </c>
    </row>
    <row r="1612" spans="1:7" x14ac:dyDescent="0.3">
      <c r="A1612" t="s">
        <v>48</v>
      </c>
      <c r="B1612" t="s">
        <v>16</v>
      </c>
      <c r="C1612" t="s">
        <v>23</v>
      </c>
      <c r="D1612" t="s">
        <v>20</v>
      </c>
      <c r="E1612" s="17">
        <v>7795.97</v>
      </c>
      <c r="F1612" s="17">
        <v>2385.63</v>
      </c>
      <c r="G1612" s="17">
        <v>2385.63</v>
      </c>
    </row>
    <row r="1613" spans="1:7" x14ac:dyDescent="0.3">
      <c r="A1613" t="s">
        <v>48</v>
      </c>
      <c r="B1613" t="s">
        <v>16</v>
      </c>
      <c r="C1613" t="s">
        <v>23</v>
      </c>
      <c r="D1613" t="s">
        <v>21</v>
      </c>
      <c r="E1613" s="17">
        <v>17575.509999999998</v>
      </c>
      <c r="F1613" s="17">
        <v>7075.27</v>
      </c>
      <c r="G1613" s="17">
        <v>7075.27</v>
      </c>
    </row>
    <row r="1614" spans="1:7" x14ac:dyDescent="0.3">
      <c r="A1614" t="s">
        <v>48</v>
      </c>
      <c r="B1614" t="s">
        <v>16</v>
      </c>
      <c r="C1614" t="s">
        <v>24</v>
      </c>
      <c r="D1614" t="s">
        <v>18</v>
      </c>
      <c r="E1614" s="17">
        <v>11134.51</v>
      </c>
      <c r="F1614" s="17">
        <v>2311.7899999999991</v>
      </c>
      <c r="G1614" s="17">
        <v>2311.79</v>
      </c>
    </row>
    <row r="1615" spans="1:7" x14ac:dyDescent="0.3">
      <c r="A1615" t="s">
        <v>48</v>
      </c>
      <c r="B1615" t="s">
        <v>16</v>
      </c>
      <c r="C1615" t="s">
        <v>24</v>
      </c>
      <c r="D1615" t="s">
        <v>19</v>
      </c>
      <c r="E1615" s="17">
        <v>13764.82</v>
      </c>
      <c r="F1615" s="17">
        <v>4939.3100000000013</v>
      </c>
      <c r="G1615" s="17">
        <v>4939.3100000000004</v>
      </c>
    </row>
    <row r="1616" spans="1:7" x14ac:dyDescent="0.3">
      <c r="A1616" t="s">
        <v>48</v>
      </c>
      <c r="B1616" t="s">
        <v>16</v>
      </c>
      <c r="C1616" t="s">
        <v>24</v>
      </c>
      <c r="D1616" t="s">
        <v>20</v>
      </c>
      <c r="E1616" s="17">
        <v>21395.53</v>
      </c>
      <c r="F1616" s="17">
        <v>6013.0400000000009</v>
      </c>
      <c r="G1616" s="17">
        <v>6013.04</v>
      </c>
    </row>
    <row r="1617" spans="1:7" x14ac:dyDescent="0.3">
      <c r="A1617" t="s">
        <v>48</v>
      </c>
      <c r="B1617" t="s">
        <v>16</v>
      </c>
      <c r="C1617" t="s">
        <v>24</v>
      </c>
      <c r="D1617" t="s">
        <v>21</v>
      </c>
      <c r="E1617" s="17">
        <v>16888.87</v>
      </c>
      <c r="F1617" s="17">
        <v>5817.26</v>
      </c>
      <c r="G1617" s="17">
        <v>5817.26</v>
      </c>
    </row>
    <row r="1618" spans="1:7" x14ac:dyDescent="0.3">
      <c r="A1618" t="s">
        <v>48</v>
      </c>
      <c r="B1618" t="s">
        <v>16</v>
      </c>
      <c r="C1618" t="s">
        <v>25</v>
      </c>
      <c r="D1618" t="s">
        <v>18</v>
      </c>
      <c r="E1618" s="17">
        <v>8864.9500000000007</v>
      </c>
      <c r="F1618" s="17">
        <v>1854.440000000001</v>
      </c>
      <c r="G1618" s="17">
        <v>1854.44</v>
      </c>
    </row>
    <row r="1619" spans="1:7" x14ac:dyDescent="0.3">
      <c r="A1619" t="s">
        <v>48</v>
      </c>
      <c r="B1619" t="s">
        <v>16</v>
      </c>
      <c r="C1619" t="s">
        <v>25</v>
      </c>
      <c r="D1619" t="s">
        <v>19</v>
      </c>
      <c r="E1619" s="17">
        <v>3468.25</v>
      </c>
      <c r="F1619" s="17">
        <v>1549.81</v>
      </c>
      <c r="G1619" s="17">
        <v>1549.81</v>
      </c>
    </row>
    <row r="1620" spans="1:7" x14ac:dyDescent="0.3">
      <c r="A1620" t="s">
        <v>48</v>
      </c>
      <c r="B1620" t="s">
        <v>16</v>
      </c>
      <c r="C1620" t="s">
        <v>25</v>
      </c>
      <c r="D1620" t="s">
        <v>20</v>
      </c>
      <c r="E1620" s="17">
        <v>16733.68</v>
      </c>
      <c r="F1620" s="17">
        <v>6904.3600000000006</v>
      </c>
      <c r="G1620" s="17">
        <v>6904.36</v>
      </c>
    </row>
    <row r="1621" spans="1:7" x14ac:dyDescent="0.3">
      <c r="A1621" t="s">
        <v>48</v>
      </c>
      <c r="B1621" t="s">
        <v>16</v>
      </c>
      <c r="C1621" t="s">
        <v>25</v>
      </c>
      <c r="D1621" t="s">
        <v>21</v>
      </c>
      <c r="E1621" s="17">
        <v>8006.38</v>
      </c>
      <c r="F1621" s="17">
        <v>2978.34</v>
      </c>
      <c r="G1621" s="17">
        <v>2978.34</v>
      </c>
    </row>
    <row r="1622" spans="1:7" x14ac:dyDescent="0.3">
      <c r="A1622" t="s">
        <v>48</v>
      </c>
      <c r="B1622" t="s">
        <v>26</v>
      </c>
      <c r="C1622" t="s">
        <v>17</v>
      </c>
      <c r="D1622" t="s">
        <v>18</v>
      </c>
      <c r="E1622" s="17">
        <v>22524.6</v>
      </c>
      <c r="F1622" s="17">
        <v>5871.57</v>
      </c>
      <c r="G1622" s="17">
        <v>5871.57</v>
      </c>
    </row>
    <row r="1623" spans="1:7" x14ac:dyDescent="0.3">
      <c r="A1623" t="s">
        <v>48</v>
      </c>
      <c r="B1623" t="s">
        <v>26</v>
      </c>
      <c r="C1623" t="s">
        <v>17</v>
      </c>
      <c r="D1623" t="s">
        <v>19</v>
      </c>
      <c r="E1623" s="17">
        <v>5448.37</v>
      </c>
      <c r="F1623" s="17">
        <v>2106.77</v>
      </c>
      <c r="G1623" s="17">
        <v>2106.77</v>
      </c>
    </row>
    <row r="1624" spans="1:7" x14ac:dyDescent="0.3">
      <c r="A1624" t="s">
        <v>48</v>
      </c>
      <c r="B1624" t="s">
        <v>26</v>
      </c>
      <c r="C1624" t="s">
        <v>17</v>
      </c>
      <c r="D1624" t="s">
        <v>20</v>
      </c>
      <c r="E1624" s="17">
        <v>22692.799999999999</v>
      </c>
      <c r="F1624" s="17">
        <v>9019.6200000000008</v>
      </c>
      <c r="G1624" s="17">
        <v>9019.6200000000008</v>
      </c>
    </row>
    <row r="1625" spans="1:7" x14ac:dyDescent="0.3">
      <c r="A1625" t="s">
        <v>48</v>
      </c>
      <c r="B1625" t="s">
        <v>26</v>
      </c>
      <c r="C1625" t="s">
        <v>17</v>
      </c>
      <c r="D1625" t="s">
        <v>21</v>
      </c>
      <c r="E1625" s="17">
        <v>20454.37</v>
      </c>
      <c r="F1625" s="17">
        <v>6995.58</v>
      </c>
      <c r="G1625" s="17">
        <v>6995.58</v>
      </c>
    </row>
    <row r="1626" spans="1:7" x14ac:dyDescent="0.3">
      <c r="A1626" t="s">
        <v>48</v>
      </c>
      <c r="B1626" t="s">
        <v>26</v>
      </c>
      <c r="C1626" t="s">
        <v>22</v>
      </c>
      <c r="D1626" t="s">
        <v>18</v>
      </c>
      <c r="E1626" s="17">
        <v>17192.2</v>
      </c>
      <c r="F1626" s="17">
        <v>6254.59</v>
      </c>
      <c r="G1626" s="17">
        <v>6254.59</v>
      </c>
    </row>
    <row r="1627" spans="1:7" x14ac:dyDescent="0.3">
      <c r="A1627" t="s">
        <v>48</v>
      </c>
      <c r="B1627" t="s">
        <v>26</v>
      </c>
      <c r="C1627" t="s">
        <v>22</v>
      </c>
      <c r="D1627" t="s">
        <v>19</v>
      </c>
      <c r="E1627" s="17">
        <v>18589.509999999998</v>
      </c>
      <c r="F1627" s="17">
        <v>6635.68</v>
      </c>
      <c r="G1627" s="17">
        <v>6635.68</v>
      </c>
    </row>
    <row r="1628" spans="1:7" x14ac:dyDescent="0.3">
      <c r="A1628" t="s">
        <v>48</v>
      </c>
      <c r="B1628" t="s">
        <v>26</v>
      </c>
      <c r="C1628" t="s">
        <v>22</v>
      </c>
      <c r="D1628" t="s">
        <v>20</v>
      </c>
      <c r="E1628" s="17">
        <v>24941.79</v>
      </c>
      <c r="F1628" s="17">
        <v>6236.57</v>
      </c>
      <c r="G1628" s="17">
        <v>6236.57</v>
      </c>
    </row>
    <row r="1629" spans="1:7" x14ac:dyDescent="0.3">
      <c r="A1629" t="s">
        <v>48</v>
      </c>
      <c r="B1629" t="s">
        <v>26</v>
      </c>
      <c r="C1629" t="s">
        <v>22</v>
      </c>
      <c r="D1629" t="s">
        <v>21</v>
      </c>
      <c r="E1629" s="17">
        <v>11627.01</v>
      </c>
      <c r="F1629" s="17">
        <v>3311.77</v>
      </c>
      <c r="G1629" s="17">
        <v>3311.77</v>
      </c>
    </row>
    <row r="1630" spans="1:7" x14ac:dyDescent="0.3">
      <c r="A1630" t="s">
        <v>48</v>
      </c>
      <c r="B1630" t="s">
        <v>26</v>
      </c>
      <c r="C1630" t="s">
        <v>23</v>
      </c>
      <c r="D1630" t="s">
        <v>18</v>
      </c>
      <c r="E1630" s="17">
        <v>2812.34</v>
      </c>
      <c r="F1630" s="17">
        <v>1043.8800000000001</v>
      </c>
      <c r="G1630" s="17">
        <v>1043.8800000000001</v>
      </c>
    </row>
    <row r="1631" spans="1:7" x14ac:dyDescent="0.3">
      <c r="A1631" t="s">
        <v>48</v>
      </c>
      <c r="B1631" t="s">
        <v>26</v>
      </c>
      <c r="C1631" t="s">
        <v>23</v>
      </c>
      <c r="D1631" t="s">
        <v>19</v>
      </c>
      <c r="E1631" s="17">
        <v>15156.98</v>
      </c>
      <c r="F1631" s="17">
        <v>3505.4599999999991</v>
      </c>
      <c r="G1631" s="17">
        <v>3505.46</v>
      </c>
    </row>
    <row r="1632" spans="1:7" x14ac:dyDescent="0.3">
      <c r="A1632" t="s">
        <v>48</v>
      </c>
      <c r="B1632" t="s">
        <v>26</v>
      </c>
      <c r="C1632" t="s">
        <v>23</v>
      </c>
      <c r="D1632" t="s">
        <v>20</v>
      </c>
      <c r="E1632" s="17">
        <v>18710.650000000001</v>
      </c>
      <c r="F1632" s="17">
        <v>4491.2700000000004</v>
      </c>
      <c r="G1632" s="17">
        <v>4491.2700000000004</v>
      </c>
    </row>
    <row r="1633" spans="1:7" x14ac:dyDescent="0.3">
      <c r="A1633" t="s">
        <v>48</v>
      </c>
      <c r="B1633" t="s">
        <v>26</v>
      </c>
      <c r="C1633" t="s">
        <v>23</v>
      </c>
      <c r="D1633" t="s">
        <v>21</v>
      </c>
      <c r="E1633" s="17">
        <v>14296.61</v>
      </c>
      <c r="F1633" s="17">
        <v>5603.16</v>
      </c>
      <c r="G1633" s="17">
        <v>5603.16</v>
      </c>
    </row>
    <row r="1634" spans="1:7" x14ac:dyDescent="0.3">
      <c r="A1634" t="s">
        <v>48</v>
      </c>
      <c r="B1634" t="s">
        <v>26</v>
      </c>
      <c r="C1634" t="s">
        <v>24</v>
      </c>
      <c r="D1634" t="s">
        <v>18</v>
      </c>
      <c r="E1634" s="17">
        <v>22850.11</v>
      </c>
      <c r="F1634" s="17">
        <v>8258.1299999999992</v>
      </c>
      <c r="G1634" s="17">
        <v>8258.1299999999992</v>
      </c>
    </row>
    <row r="1635" spans="1:7" x14ac:dyDescent="0.3">
      <c r="A1635" t="s">
        <v>48</v>
      </c>
      <c r="B1635" t="s">
        <v>26</v>
      </c>
      <c r="C1635" t="s">
        <v>24</v>
      </c>
      <c r="D1635" t="s">
        <v>19</v>
      </c>
      <c r="E1635" s="17">
        <v>13668.24</v>
      </c>
      <c r="F1635" s="17">
        <v>5580.24</v>
      </c>
      <c r="G1635" s="17">
        <v>5580.24</v>
      </c>
    </row>
    <row r="1636" spans="1:7" x14ac:dyDescent="0.3">
      <c r="A1636" t="s">
        <v>48</v>
      </c>
      <c r="B1636" t="s">
        <v>26</v>
      </c>
      <c r="C1636" t="s">
        <v>24</v>
      </c>
      <c r="D1636" t="s">
        <v>20</v>
      </c>
      <c r="E1636" s="17">
        <v>21334.69</v>
      </c>
      <c r="F1636" s="17">
        <v>8889.18</v>
      </c>
      <c r="G1636" s="17">
        <v>8889.18</v>
      </c>
    </row>
    <row r="1637" spans="1:7" x14ac:dyDescent="0.3">
      <c r="A1637" t="s">
        <v>48</v>
      </c>
      <c r="B1637" t="s">
        <v>26</v>
      </c>
      <c r="C1637" t="s">
        <v>24</v>
      </c>
      <c r="D1637" t="s">
        <v>21</v>
      </c>
      <c r="E1637" s="17">
        <v>6166.12</v>
      </c>
      <c r="F1637" s="17">
        <v>1272.400000000001</v>
      </c>
      <c r="G1637" s="17">
        <v>1272.4000000000001</v>
      </c>
    </row>
    <row r="1638" spans="1:7" x14ac:dyDescent="0.3">
      <c r="A1638" t="s">
        <v>48</v>
      </c>
      <c r="B1638" t="s">
        <v>26</v>
      </c>
      <c r="C1638" t="s">
        <v>25</v>
      </c>
      <c r="D1638" t="s">
        <v>18</v>
      </c>
      <c r="E1638" s="17">
        <v>4942.72</v>
      </c>
      <c r="F1638" s="17">
        <v>1234.8699999999999</v>
      </c>
      <c r="G1638" s="17">
        <v>1234.8699999999999</v>
      </c>
    </row>
    <row r="1639" spans="1:7" x14ac:dyDescent="0.3">
      <c r="A1639" t="s">
        <v>48</v>
      </c>
      <c r="B1639" t="s">
        <v>26</v>
      </c>
      <c r="C1639" t="s">
        <v>25</v>
      </c>
      <c r="D1639" t="s">
        <v>19</v>
      </c>
      <c r="E1639" s="17">
        <v>20591.91</v>
      </c>
      <c r="F1639" s="17">
        <v>7948.23</v>
      </c>
      <c r="G1639" s="17">
        <v>7948.23</v>
      </c>
    </row>
    <row r="1640" spans="1:7" x14ac:dyDescent="0.3">
      <c r="A1640" t="s">
        <v>48</v>
      </c>
      <c r="B1640" t="s">
        <v>26</v>
      </c>
      <c r="C1640" t="s">
        <v>25</v>
      </c>
      <c r="D1640" t="s">
        <v>20</v>
      </c>
      <c r="E1640" s="17">
        <v>6210.57</v>
      </c>
      <c r="F1640" s="17">
        <v>2257.6799999999998</v>
      </c>
      <c r="G1640" s="17">
        <v>2257.6799999999998</v>
      </c>
    </row>
    <row r="1641" spans="1:7" x14ac:dyDescent="0.3">
      <c r="A1641" t="s">
        <v>48</v>
      </c>
      <c r="B1641" t="s">
        <v>26</v>
      </c>
      <c r="C1641" t="s">
        <v>25</v>
      </c>
      <c r="D1641" t="s">
        <v>21</v>
      </c>
      <c r="E1641" s="17">
        <v>9719.5499999999993</v>
      </c>
      <c r="F1641" s="17">
        <v>1983.87</v>
      </c>
      <c r="G1641" s="17">
        <v>1983.87</v>
      </c>
    </row>
    <row r="1642" spans="1:7" x14ac:dyDescent="0.3">
      <c r="A1642" t="s">
        <v>48</v>
      </c>
      <c r="B1642" t="s">
        <v>27</v>
      </c>
      <c r="C1642" t="s">
        <v>17</v>
      </c>
      <c r="D1642" t="s">
        <v>18</v>
      </c>
      <c r="E1642" s="17">
        <v>10171.52</v>
      </c>
      <c r="F1642" s="17">
        <v>3874.71</v>
      </c>
      <c r="G1642" s="17">
        <v>3874.71</v>
      </c>
    </row>
    <row r="1643" spans="1:7" x14ac:dyDescent="0.3">
      <c r="A1643" t="s">
        <v>48</v>
      </c>
      <c r="B1643" t="s">
        <v>27</v>
      </c>
      <c r="C1643" t="s">
        <v>17</v>
      </c>
      <c r="D1643" t="s">
        <v>19</v>
      </c>
      <c r="E1643" s="17">
        <v>9062.9599999999991</v>
      </c>
      <c r="F1643" s="17">
        <v>3559.79</v>
      </c>
      <c r="G1643" s="17">
        <v>3559.79</v>
      </c>
    </row>
    <row r="1644" spans="1:7" x14ac:dyDescent="0.3">
      <c r="A1644" t="s">
        <v>48</v>
      </c>
      <c r="B1644" t="s">
        <v>27</v>
      </c>
      <c r="C1644" t="s">
        <v>17</v>
      </c>
      <c r="D1644" t="s">
        <v>20</v>
      </c>
      <c r="E1644" s="17">
        <v>9620.2900000000009</v>
      </c>
      <c r="F1644" s="17">
        <v>2408.4499999999998</v>
      </c>
      <c r="G1644" s="17">
        <v>2408.4499999999998</v>
      </c>
    </row>
    <row r="1645" spans="1:7" x14ac:dyDescent="0.3">
      <c r="A1645" t="s">
        <v>48</v>
      </c>
      <c r="B1645" t="s">
        <v>27</v>
      </c>
      <c r="C1645" t="s">
        <v>17</v>
      </c>
      <c r="D1645" t="s">
        <v>21</v>
      </c>
      <c r="E1645" s="17">
        <v>8763.18</v>
      </c>
      <c r="F1645" s="17">
        <v>3591.389999999999</v>
      </c>
      <c r="G1645" s="17">
        <v>3591.39</v>
      </c>
    </row>
    <row r="1646" spans="1:7" x14ac:dyDescent="0.3">
      <c r="A1646" t="s">
        <v>48</v>
      </c>
      <c r="B1646" t="s">
        <v>27</v>
      </c>
      <c r="C1646" t="s">
        <v>22</v>
      </c>
      <c r="D1646" t="s">
        <v>18</v>
      </c>
      <c r="E1646" s="17">
        <v>12822.34</v>
      </c>
      <c r="F1646" s="17">
        <v>5307.5</v>
      </c>
      <c r="G1646" s="17">
        <v>5307.5</v>
      </c>
    </row>
    <row r="1647" spans="1:7" x14ac:dyDescent="0.3">
      <c r="A1647" t="s">
        <v>48</v>
      </c>
      <c r="B1647" t="s">
        <v>27</v>
      </c>
      <c r="C1647" t="s">
        <v>22</v>
      </c>
      <c r="D1647" t="s">
        <v>19</v>
      </c>
      <c r="E1647" s="17">
        <v>15422.22</v>
      </c>
      <c r="F1647" s="17">
        <v>6708.07</v>
      </c>
      <c r="G1647" s="17">
        <v>6708.07</v>
      </c>
    </row>
    <row r="1648" spans="1:7" x14ac:dyDescent="0.3">
      <c r="A1648" t="s">
        <v>48</v>
      </c>
      <c r="B1648" t="s">
        <v>27</v>
      </c>
      <c r="C1648" t="s">
        <v>22</v>
      </c>
      <c r="D1648" t="s">
        <v>20</v>
      </c>
      <c r="E1648" s="17">
        <v>3637.96</v>
      </c>
      <c r="F1648" s="17">
        <v>1528.47</v>
      </c>
      <c r="G1648" s="17">
        <v>1528.47</v>
      </c>
    </row>
    <row r="1649" spans="1:7" x14ac:dyDescent="0.3">
      <c r="A1649" t="s">
        <v>48</v>
      </c>
      <c r="B1649" t="s">
        <v>27</v>
      </c>
      <c r="C1649" t="s">
        <v>22</v>
      </c>
      <c r="D1649" t="s">
        <v>21</v>
      </c>
      <c r="E1649" s="17">
        <v>13510.98</v>
      </c>
      <c r="F1649" s="17">
        <v>5596.58</v>
      </c>
      <c r="G1649" s="17">
        <v>5596.58</v>
      </c>
    </row>
    <row r="1650" spans="1:7" x14ac:dyDescent="0.3">
      <c r="A1650" t="s">
        <v>48</v>
      </c>
      <c r="B1650" t="s">
        <v>27</v>
      </c>
      <c r="C1650" t="s">
        <v>23</v>
      </c>
      <c r="D1650" t="s">
        <v>18</v>
      </c>
      <c r="E1650" s="17">
        <v>10778.39</v>
      </c>
      <c r="F1650" s="17">
        <v>2808.37</v>
      </c>
      <c r="G1650" s="17">
        <v>2808.37</v>
      </c>
    </row>
    <row r="1651" spans="1:7" x14ac:dyDescent="0.3">
      <c r="A1651" t="s">
        <v>48</v>
      </c>
      <c r="B1651" t="s">
        <v>27</v>
      </c>
      <c r="C1651" t="s">
        <v>23</v>
      </c>
      <c r="D1651" t="s">
        <v>19</v>
      </c>
      <c r="E1651" s="17">
        <v>3243.43</v>
      </c>
      <c r="F1651" s="17">
        <v>1331.9</v>
      </c>
      <c r="G1651" s="17">
        <v>1331.9</v>
      </c>
    </row>
    <row r="1652" spans="1:7" x14ac:dyDescent="0.3">
      <c r="A1652" t="s">
        <v>48</v>
      </c>
      <c r="B1652" t="s">
        <v>27</v>
      </c>
      <c r="C1652" t="s">
        <v>23</v>
      </c>
      <c r="D1652" t="s">
        <v>20</v>
      </c>
      <c r="E1652" s="17">
        <v>5159.3999999999996</v>
      </c>
      <c r="F1652" s="17">
        <v>1207.71</v>
      </c>
      <c r="G1652" s="17">
        <v>1207.71</v>
      </c>
    </row>
    <row r="1653" spans="1:7" x14ac:dyDescent="0.3">
      <c r="A1653" t="s">
        <v>48</v>
      </c>
      <c r="B1653" t="s">
        <v>27</v>
      </c>
      <c r="C1653" t="s">
        <v>23</v>
      </c>
      <c r="D1653" t="s">
        <v>21</v>
      </c>
      <c r="E1653" s="17">
        <v>11411.41</v>
      </c>
      <c r="F1653" s="17">
        <v>3808.43</v>
      </c>
      <c r="G1653" s="17">
        <v>3808.43</v>
      </c>
    </row>
    <row r="1654" spans="1:7" x14ac:dyDescent="0.3">
      <c r="A1654" t="s">
        <v>48</v>
      </c>
      <c r="B1654" t="s">
        <v>27</v>
      </c>
      <c r="C1654" t="s">
        <v>24</v>
      </c>
      <c r="D1654" t="s">
        <v>18</v>
      </c>
      <c r="E1654" s="17">
        <v>22852.28</v>
      </c>
      <c r="F1654" s="17">
        <v>6936.68</v>
      </c>
      <c r="G1654" s="17">
        <v>6936.68</v>
      </c>
    </row>
    <row r="1655" spans="1:7" x14ac:dyDescent="0.3">
      <c r="A1655" t="s">
        <v>48</v>
      </c>
      <c r="B1655" t="s">
        <v>27</v>
      </c>
      <c r="C1655" t="s">
        <v>24</v>
      </c>
      <c r="D1655" t="s">
        <v>19</v>
      </c>
      <c r="E1655" s="17">
        <v>9276.82</v>
      </c>
      <c r="F1655" s="17">
        <v>3462.389999999999</v>
      </c>
      <c r="G1655" s="17">
        <v>3462.39</v>
      </c>
    </row>
    <row r="1656" spans="1:7" x14ac:dyDescent="0.3">
      <c r="A1656" t="s">
        <v>48</v>
      </c>
      <c r="B1656" t="s">
        <v>27</v>
      </c>
      <c r="C1656" t="s">
        <v>24</v>
      </c>
      <c r="D1656" t="s">
        <v>20</v>
      </c>
      <c r="E1656" s="17">
        <v>19915.650000000001</v>
      </c>
      <c r="F1656" s="17">
        <v>6206.65</v>
      </c>
      <c r="G1656" s="17">
        <v>6206.65</v>
      </c>
    </row>
    <row r="1657" spans="1:7" x14ac:dyDescent="0.3">
      <c r="A1657" t="s">
        <v>48</v>
      </c>
      <c r="B1657" t="s">
        <v>27</v>
      </c>
      <c r="C1657" t="s">
        <v>24</v>
      </c>
      <c r="D1657" t="s">
        <v>21</v>
      </c>
      <c r="E1657" s="17">
        <v>16513.75</v>
      </c>
      <c r="F1657" s="17">
        <v>3760.880000000001</v>
      </c>
      <c r="G1657" s="17">
        <v>3760.88</v>
      </c>
    </row>
    <row r="1658" spans="1:7" x14ac:dyDescent="0.3">
      <c r="A1658" t="s">
        <v>48</v>
      </c>
      <c r="B1658" t="s">
        <v>27</v>
      </c>
      <c r="C1658" t="s">
        <v>25</v>
      </c>
      <c r="D1658" t="s">
        <v>18</v>
      </c>
      <c r="E1658" s="17">
        <v>16593.48</v>
      </c>
      <c r="F1658" s="17">
        <v>3007.940000000001</v>
      </c>
      <c r="G1658" s="17">
        <v>3007.94</v>
      </c>
    </row>
    <row r="1659" spans="1:7" x14ac:dyDescent="0.3">
      <c r="A1659" t="s">
        <v>48</v>
      </c>
      <c r="B1659" t="s">
        <v>27</v>
      </c>
      <c r="C1659" t="s">
        <v>25</v>
      </c>
      <c r="D1659" t="s">
        <v>19</v>
      </c>
      <c r="E1659" s="17">
        <v>8291.14</v>
      </c>
      <c r="F1659" s="17">
        <v>3196.42</v>
      </c>
      <c r="G1659" s="17">
        <v>3196.42</v>
      </c>
    </row>
    <row r="1660" spans="1:7" x14ac:dyDescent="0.3">
      <c r="A1660" t="s">
        <v>48</v>
      </c>
      <c r="B1660" t="s">
        <v>27</v>
      </c>
      <c r="C1660" t="s">
        <v>25</v>
      </c>
      <c r="D1660" t="s">
        <v>20</v>
      </c>
      <c r="E1660" s="17">
        <v>5877.93</v>
      </c>
      <c r="F1660" s="17">
        <v>2271.29</v>
      </c>
      <c r="G1660" s="17">
        <v>2271.29</v>
      </c>
    </row>
    <row r="1661" spans="1:7" x14ac:dyDescent="0.3">
      <c r="A1661" t="s">
        <v>48</v>
      </c>
      <c r="B1661" t="s">
        <v>27</v>
      </c>
      <c r="C1661" t="s">
        <v>25</v>
      </c>
      <c r="D1661" t="s">
        <v>21</v>
      </c>
      <c r="E1661" s="17">
        <v>13260.27</v>
      </c>
      <c r="F1661" s="17">
        <v>5120.63</v>
      </c>
      <c r="G1661" s="17">
        <v>5120.63</v>
      </c>
    </row>
    <row r="1662" spans="1:7" x14ac:dyDescent="0.3">
      <c r="A1662" t="s">
        <v>48</v>
      </c>
      <c r="B1662" t="s">
        <v>28</v>
      </c>
      <c r="C1662" t="s">
        <v>17</v>
      </c>
      <c r="D1662" t="s">
        <v>18</v>
      </c>
      <c r="E1662" s="17">
        <v>4024.95</v>
      </c>
      <c r="F1662" s="17">
        <v>1392.27</v>
      </c>
      <c r="G1662" s="17">
        <v>1392.27</v>
      </c>
    </row>
    <row r="1663" spans="1:7" x14ac:dyDescent="0.3">
      <c r="A1663" t="s">
        <v>48</v>
      </c>
      <c r="B1663" t="s">
        <v>28</v>
      </c>
      <c r="C1663" t="s">
        <v>17</v>
      </c>
      <c r="D1663" t="s">
        <v>19</v>
      </c>
      <c r="E1663" s="17">
        <v>16570.21</v>
      </c>
      <c r="F1663" s="17">
        <v>4787.3999999999996</v>
      </c>
      <c r="G1663" s="17">
        <v>4787.3999999999996</v>
      </c>
    </row>
    <row r="1664" spans="1:7" x14ac:dyDescent="0.3">
      <c r="A1664" t="s">
        <v>48</v>
      </c>
      <c r="B1664" t="s">
        <v>28</v>
      </c>
      <c r="C1664" t="s">
        <v>17</v>
      </c>
      <c r="D1664" t="s">
        <v>20</v>
      </c>
      <c r="E1664" s="17">
        <v>24202.54</v>
      </c>
      <c r="F1664" s="17">
        <v>6861.3100000000013</v>
      </c>
      <c r="G1664" s="17">
        <v>6861.31</v>
      </c>
    </row>
    <row r="1665" spans="1:7" x14ac:dyDescent="0.3">
      <c r="A1665" t="s">
        <v>48</v>
      </c>
      <c r="B1665" t="s">
        <v>28</v>
      </c>
      <c r="C1665" t="s">
        <v>17</v>
      </c>
      <c r="D1665" t="s">
        <v>21</v>
      </c>
      <c r="E1665" s="17">
        <v>2867.68</v>
      </c>
      <c r="F1665" s="17">
        <v>670.57999999999993</v>
      </c>
      <c r="G1665" s="17">
        <v>670.58</v>
      </c>
    </row>
    <row r="1666" spans="1:7" x14ac:dyDescent="0.3">
      <c r="A1666" t="s">
        <v>48</v>
      </c>
      <c r="B1666" t="s">
        <v>28</v>
      </c>
      <c r="C1666" t="s">
        <v>22</v>
      </c>
      <c r="D1666" t="s">
        <v>18</v>
      </c>
      <c r="E1666" s="17">
        <v>10581.33</v>
      </c>
      <c r="F1666" s="17">
        <v>1944.860000000001</v>
      </c>
      <c r="G1666" s="17">
        <v>1944.86</v>
      </c>
    </row>
    <row r="1667" spans="1:7" x14ac:dyDescent="0.3">
      <c r="A1667" t="s">
        <v>48</v>
      </c>
      <c r="B1667" t="s">
        <v>28</v>
      </c>
      <c r="C1667" t="s">
        <v>22</v>
      </c>
      <c r="D1667" t="s">
        <v>19</v>
      </c>
      <c r="E1667" s="17">
        <v>9410.9</v>
      </c>
      <c r="F1667" s="17">
        <v>3811.15</v>
      </c>
      <c r="G1667" s="17">
        <v>3811.15</v>
      </c>
    </row>
    <row r="1668" spans="1:7" x14ac:dyDescent="0.3">
      <c r="A1668" t="s">
        <v>48</v>
      </c>
      <c r="B1668" t="s">
        <v>28</v>
      </c>
      <c r="C1668" t="s">
        <v>22</v>
      </c>
      <c r="D1668" t="s">
        <v>20</v>
      </c>
      <c r="E1668" s="17">
        <v>6383.26</v>
      </c>
      <c r="F1668" s="17">
        <v>2315.35</v>
      </c>
      <c r="G1668" s="17">
        <v>2315.35</v>
      </c>
    </row>
    <row r="1669" spans="1:7" x14ac:dyDescent="0.3">
      <c r="A1669" t="s">
        <v>48</v>
      </c>
      <c r="B1669" t="s">
        <v>28</v>
      </c>
      <c r="C1669" t="s">
        <v>22</v>
      </c>
      <c r="D1669" t="s">
        <v>21</v>
      </c>
      <c r="E1669" s="17">
        <v>16413.8</v>
      </c>
      <c r="F1669" s="17">
        <v>4057.2000000000012</v>
      </c>
      <c r="G1669" s="17">
        <v>4057.2</v>
      </c>
    </row>
    <row r="1670" spans="1:7" x14ac:dyDescent="0.3">
      <c r="A1670" t="s">
        <v>48</v>
      </c>
      <c r="B1670" t="s">
        <v>28</v>
      </c>
      <c r="C1670" t="s">
        <v>23</v>
      </c>
      <c r="D1670" t="s">
        <v>18</v>
      </c>
      <c r="E1670" s="17">
        <v>17951.07</v>
      </c>
      <c r="F1670" s="17">
        <v>4900.18</v>
      </c>
      <c r="G1670" s="17">
        <v>4900.18</v>
      </c>
    </row>
    <row r="1671" spans="1:7" x14ac:dyDescent="0.3">
      <c r="A1671" t="s">
        <v>48</v>
      </c>
      <c r="B1671" t="s">
        <v>28</v>
      </c>
      <c r="C1671" t="s">
        <v>23</v>
      </c>
      <c r="D1671" t="s">
        <v>19</v>
      </c>
      <c r="E1671" s="17">
        <v>4965.41</v>
      </c>
      <c r="F1671" s="17">
        <v>1407.98</v>
      </c>
      <c r="G1671" s="17">
        <v>1407.98</v>
      </c>
    </row>
    <row r="1672" spans="1:7" x14ac:dyDescent="0.3">
      <c r="A1672" t="s">
        <v>48</v>
      </c>
      <c r="B1672" t="s">
        <v>28</v>
      </c>
      <c r="C1672" t="s">
        <v>23</v>
      </c>
      <c r="D1672" t="s">
        <v>20</v>
      </c>
      <c r="E1672" s="17">
        <v>15539.43</v>
      </c>
      <c r="F1672" s="17">
        <v>3497.85</v>
      </c>
      <c r="G1672" s="17">
        <v>3497.85</v>
      </c>
    </row>
    <row r="1673" spans="1:7" x14ac:dyDescent="0.3">
      <c r="A1673" t="s">
        <v>48</v>
      </c>
      <c r="B1673" t="s">
        <v>28</v>
      </c>
      <c r="C1673" t="s">
        <v>23</v>
      </c>
      <c r="D1673" t="s">
        <v>21</v>
      </c>
      <c r="E1673" s="17">
        <v>20948.41</v>
      </c>
      <c r="F1673" s="17">
        <v>5457.369999999999</v>
      </c>
      <c r="G1673" s="17">
        <v>5457.37</v>
      </c>
    </row>
    <row r="1674" spans="1:7" x14ac:dyDescent="0.3">
      <c r="A1674" t="s">
        <v>48</v>
      </c>
      <c r="B1674" t="s">
        <v>28</v>
      </c>
      <c r="C1674" t="s">
        <v>24</v>
      </c>
      <c r="D1674" t="s">
        <v>18</v>
      </c>
      <c r="E1674" s="17">
        <v>8689.0400000000009</v>
      </c>
      <c r="F1674" s="17">
        <v>3271.55</v>
      </c>
      <c r="G1674" s="17">
        <v>3271.55</v>
      </c>
    </row>
    <row r="1675" spans="1:7" x14ac:dyDescent="0.3">
      <c r="A1675" t="s">
        <v>48</v>
      </c>
      <c r="B1675" t="s">
        <v>28</v>
      </c>
      <c r="C1675" t="s">
        <v>24</v>
      </c>
      <c r="D1675" t="s">
        <v>19</v>
      </c>
      <c r="E1675" s="17">
        <v>15716.51</v>
      </c>
      <c r="F1675" s="17">
        <v>4262.5599999999986</v>
      </c>
      <c r="G1675" s="17">
        <v>4262.5600000000004</v>
      </c>
    </row>
    <row r="1676" spans="1:7" x14ac:dyDescent="0.3">
      <c r="A1676" t="s">
        <v>48</v>
      </c>
      <c r="B1676" t="s">
        <v>28</v>
      </c>
      <c r="C1676" t="s">
        <v>24</v>
      </c>
      <c r="D1676" t="s">
        <v>20</v>
      </c>
      <c r="E1676" s="17">
        <v>22423.4</v>
      </c>
      <c r="F1676" s="17">
        <v>10063.120000000001</v>
      </c>
      <c r="G1676" s="17">
        <v>10063.120000000001</v>
      </c>
    </row>
    <row r="1677" spans="1:7" x14ac:dyDescent="0.3">
      <c r="A1677" t="s">
        <v>48</v>
      </c>
      <c r="B1677" t="s">
        <v>28</v>
      </c>
      <c r="C1677" t="s">
        <v>24</v>
      </c>
      <c r="D1677" t="s">
        <v>21</v>
      </c>
      <c r="E1677" s="17">
        <v>9882.86</v>
      </c>
      <c r="F1677" s="17">
        <v>4184.1400000000003</v>
      </c>
      <c r="G1677" s="17">
        <v>4184.1400000000003</v>
      </c>
    </row>
    <row r="1678" spans="1:7" x14ac:dyDescent="0.3">
      <c r="A1678" t="s">
        <v>48</v>
      </c>
      <c r="B1678" t="s">
        <v>28</v>
      </c>
      <c r="C1678" t="s">
        <v>25</v>
      </c>
      <c r="D1678" t="s">
        <v>18</v>
      </c>
      <c r="E1678" s="17">
        <v>10262.77</v>
      </c>
      <c r="F1678" s="17">
        <v>2369.42</v>
      </c>
      <c r="G1678" s="17">
        <v>2369.42</v>
      </c>
    </row>
    <row r="1679" spans="1:7" x14ac:dyDescent="0.3">
      <c r="A1679" t="s">
        <v>48</v>
      </c>
      <c r="B1679" t="s">
        <v>28</v>
      </c>
      <c r="C1679" t="s">
        <v>25</v>
      </c>
      <c r="D1679" t="s">
        <v>19</v>
      </c>
      <c r="E1679" s="17">
        <v>23805.94</v>
      </c>
      <c r="F1679" s="17">
        <v>10186.93</v>
      </c>
      <c r="G1679" s="17">
        <v>10186.93</v>
      </c>
    </row>
    <row r="1680" spans="1:7" x14ac:dyDescent="0.3">
      <c r="A1680" t="s">
        <v>48</v>
      </c>
      <c r="B1680" t="s">
        <v>28</v>
      </c>
      <c r="C1680" t="s">
        <v>25</v>
      </c>
      <c r="D1680" t="s">
        <v>20</v>
      </c>
      <c r="E1680" s="17">
        <v>11278.01</v>
      </c>
      <c r="F1680" s="17">
        <v>2725.59</v>
      </c>
      <c r="G1680" s="17">
        <v>2725.59</v>
      </c>
    </row>
    <row r="1681" spans="1:7" x14ac:dyDescent="0.3">
      <c r="A1681" t="s">
        <v>48</v>
      </c>
      <c r="B1681" t="s">
        <v>28</v>
      </c>
      <c r="C1681" t="s">
        <v>25</v>
      </c>
      <c r="D1681" t="s">
        <v>21</v>
      </c>
      <c r="E1681" s="17">
        <v>18724.88</v>
      </c>
      <c r="F1681" s="17">
        <v>4033.82</v>
      </c>
      <c r="G1681" s="17">
        <v>4033.82</v>
      </c>
    </row>
    <row r="1682" spans="1:7" x14ac:dyDescent="0.3">
      <c r="A1682" t="s">
        <v>49</v>
      </c>
      <c r="B1682" t="s">
        <v>16</v>
      </c>
      <c r="C1682" t="s">
        <v>17</v>
      </c>
      <c r="D1682" t="s">
        <v>18</v>
      </c>
      <c r="E1682" s="17">
        <v>18883.759999999998</v>
      </c>
      <c r="F1682" s="17">
        <v>6405.6899999999987</v>
      </c>
      <c r="G1682" s="17">
        <v>6405.69</v>
      </c>
    </row>
    <row r="1683" spans="1:7" x14ac:dyDescent="0.3">
      <c r="A1683" t="s">
        <v>49</v>
      </c>
      <c r="B1683" t="s">
        <v>16</v>
      </c>
      <c r="C1683" t="s">
        <v>17</v>
      </c>
      <c r="D1683" t="s">
        <v>19</v>
      </c>
      <c r="E1683" s="17">
        <v>5886.65</v>
      </c>
      <c r="F1683" s="17">
        <v>1642.26</v>
      </c>
      <c r="G1683" s="17">
        <v>1642.26</v>
      </c>
    </row>
    <row r="1684" spans="1:7" x14ac:dyDescent="0.3">
      <c r="A1684" t="s">
        <v>49</v>
      </c>
      <c r="B1684" t="s">
        <v>16</v>
      </c>
      <c r="C1684" t="s">
        <v>17</v>
      </c>
      <c r="D1684" t="s">
        <v>20</v>
      </c>
      <c r="E1684" s="17">
        <v>16962.43</v>
      </c>
      <c r="F1684" s="17">
        <v>3224.360000000001</v>
      </c>
      <c r="G1684" s="17">
        <v>3224.36</v>
      </c>
    </row>
    <row r="1685" spans="1:7" x14ac:dyDescent="0.3">
      <c r="A1685" t="s">
        <v>49</v>
      </c>
      <c r="B1685" t="s">
        <v>16</v>
      </c>
      <c r="C1685" t="s">
        <v>17</v>
      </c>
      <c r="D1685" t="s">
        <v>21</v>
      </c>
      <c r="E1685" s="17">
        <v>22160.52</v>
      </c>
      <c r="F1685" s="17">
        <v>5519.369999999999</v>
      </c>
      <c r="G1685" s="17">
        <v>5519.37</v>
      </c>
    </row>
    <row r="1686" spans="1:7" x14ac:dyDescent="0.3">
      <c r="A1686" t="s">
        <v>49</v>
      </c>
      <c r="B1686" t="s">
        <v>16</v>
      </c>
      <c r="C1686" t="s">
        <v>22</v>
      </c>
      <c r="D1686" t="s">
        <v>18</v>
      </c>
      <c r="E1686" s="17">
        <v>14298.87</v>
      </c>
      <c r="F1686" s="17">
        <v>2761.3799999999992</v>
      </c>
      <c r="G1686" s="17">
        <v>2761.38</v>
      </c>
    </row>
    <row r="1687" spans="1:7" x14ac:dyDescent="0.3">
      <c r="A1687" t="s">
        <v>49</v>
      </c>
      <c r="B1687" t="s">
        <v>16</v>
      </c>
      <c r="C1687" t="s">
        <v>22</v>
      </c>
      <c r="D1687" t="s">
        <v>19</v>
      </c>
      <c r="E1687" s="17">
        <v>24877.65</v>
      </c>
      <c r="F1687" s="17">
        <v>8924.41</v>
      </c>
      <c r="G1687" s="17">
        <v>8924.41</v>
      </c>
    </row>
    <row r="1688" spans="1:7" x14ac:dyDescent="0.3">
      <c r="A1688" t="s">
        <v>49</v>
      </c>
      <c r="B1688" t="s">
        <v>16</v>
      </c>
      <c r="C1688" t="s">
        <v>22</v>
      </c>
      <c r="D1688" t="s">
        <v>20</v>
      </c>
      <c r="E1688" s="17">
        <v>17032.060000000001</v>
      </c>
      <c r="F1688" s="17">
        <v>3156.559999999999</v>
      </c>
      <c r="G1688" s="17">
        <v>3156.56</v>
      </c>
    </row>
    <row r="1689" spans="1:7" x14ac:dyDescent="0.3">
      <c r="A1689" t="s">
        <v>49</v>
      </c>
      <c r="B1689" t="s">
        <v>16</v>
      </c>
      <c r="C1689" t="s">
        <v>22</v>
      </c>
      <c r="D1689" t="s">
        <v>21</v>
      </c>
      <c r="E1689" s="17">
        <v>17864.240000000002</v>
      </c>
      <c r="F1689" s="17">
        <v>5225.82</v>
      </c>
      <c r="G1689" s="17">
        <v>5225.82</v>
      </c>
    </row>
    <row r="1690" spans="1:7" x14ac:dyDescent="0.3">
      <c r="A1690" t="s">
        <v>49</v>
      </c>
      <c r="B1690" t="s">
        <v>16</v>
      </c>
      <c r="C1690" t="s">
        <v>23</v>
      </c>
      <c r="D1690" t="s">
        <v>18</v>
      </c>
      <c r="E1690" s="17">
        <v>10745.84</v>
      </c>
      <c r="F1690" s="17">
        <v>3522.12</v>
      </c>
      <c r="G1690" s="17">
        <v>3522.12</v>
      </c>
    </row>
    <row r="1691" spans="1:7" x14ac:dyDescent="0.3">
      <c r="A1691" t="s">
        <v>49</v>
      </c>
      <c r="B1691" t="s">
        <v>16</v>
      </c>
      <c r="C1691" t="s">
        <v>23</v>
      </c>
      <c r="D1691" t="s">
        <v>19</v>
      </c>
      <c r="E1691" s="17">
        <v>12911.12</v>
      </c>
      <c r="F1691" s="17">
        <v>2857.8000000000011</v>
      </c>
      <c r="G1691" s="17">
        <v>2857.8</v>
      </c>
    </row>
    <row r="1692" spans="1:7" x14ac:dyDescent="0.3">
      <c r="A1692" t="s">
        <v>49</v>
      </c>
      <c r="B1692" t="s">
        <v>16</v>
      </c>
      <c r="C1692" t="s">
        <v>23</v>
      </c>
      <c r="D1692" t="s">
        <v>20</v>
      </c>
      <c r="E1692" s="17">
        <v>17989.419999999998</v>
      </c>
      <c r="F1692" s="17">
        <v>6299.6100000000006</v>
      </c>
      <c r="G1692" s="17">
        <v>6299.61</v>
      </c>
    </row>
    <row r="1693" spans="1:7" x14ac:dyDescent="0.3">
      <c r="A1693" t="s">
        <v>49</v>
      </c>
      <c r="B1693" t="s">
        <v>16</v>
      </c>
      <c r="C1693" t="s">
        <v>23</v>
      </c>
      <c r="D1693" t="s">
        <v>21</v>
      </c>
      <c r="E1693" s="17">
        <v>8925.68</v>
      </c>
      <c r="F1693" s="17">
        <v>3201.190000000001</v>
      </c>
      <c r="G1693" s="17">
        <v>3201.19</v>
      </c>
    </row>
    <row r="1694" spans="1:7" x14ac:dyDescent="0.3">
      <c r="A1694" t="s">
        <v>49</v>
      </c>
      <c r="B1694" t="s">
        <v>16</v>
      </c>
      <c r="C1694" t="s">
        <v>24</v>
      </c>
      <c r="D1694" t="s">
        <v>18</v>
      </c>
      <c r="E1694" s="17">
        <v>17237.11</v>
      </c>
      <c r="F1694" s="17">
        <v>4359.16</v>
      </c>
      <c r="G1694" s="17">
        <v>4359.16</v>
      </c>
    </row>
    <row r="1695" spans="1:7" x14ac:dyDescent="0.3">
      <c r="A1695" t="s">
        <v>49</v>
      </c>
      <c r="B1695" t="s">
        <v>16</v>
      </c>
      <c r="C1695" t="s">
        <v>24</v>
      </c>
      <c r="D1695" t="s">
        <v>19</v>
      </c>
      <c r="E1695" s="17">
        <v>15929.59</v>
      </c>
      <c r="F1695" s="17">
        <v>3457.27</v>
      </c>
      <c r="G1695" s="17">
        <v>3457.27</v>
      </c>
    </row>
    <row r="1696" spans="1:7" x14ac:dyDescent="0.3">
      <c r="A1696" t="s">
        <v>49</v>
      </c>
      <c r="B1696" t="s">
        <v>16</v>
      </c>
      <c r="C1696" t="s">
        <v>24</v>
      </c>
      <c r="D1696" t="s">
        <v>20</v>
      </c>
      <c r="E1696" s="17">
        <v>21105.01</v>
      </c>
      <c r="F1696" s="17">
        <v>4396.7400000000016</v>
      </c>
      <c r="G1696" s="17">
        <v>4396.74</v>
      </c>
    </row>
    <row r="1697" spans="1:7" x14ac:dyDescent="0.3">
      <c r="A1697" t="s">
        <v>49</v>
      </c>
      <c r="B1697" t="s">
        <v>16</v>
      </c>
      <c r="C1697" t="s">
        <v>24</v>
      </c>
      <c r="D1697" t="s">
        <v>21</v>
      </c>
      <c r="E1697" s="17">
        <v>18531.62</v>
      </c>
      <c r="F1697" s="17">
        <v>3924.7800000000011</v>
      </c>
      <c r="G1697" s="17">
        <v>3924.78</v>
      </c>
    </row>
    <row r="1698" spans="1:7" x14ac:dyDescent="0.3">
      <c r="A1698" t="s">
        <v>49</v>
      </c>
      <c r="B1698" t="s">
        <v>16</v>
      </c>
      <c r="C1698" t="s">
        <v>25</v>
      </c>
      <c r="D1698" t="s">
        <v>18</v>
      </c>
      <c r="E1698" s="17">
        <v>4622.29</v>
      </c>
      <c r="F1698" s="17">
        <v>964.63000000000011</v>
      </c>
      <c r="G1698" s="17">
        <v>964.63</v>
      </c>
    </row>
    <row r="1699" spans="1:7" x14ac:dyDescent="0.3">
      <c r="A1699" t="s">
        <v>49</v>
      </c>
      <c r="B1699" t="s">
        <v>16</v>
      </c>
      <c r="C1699" t="s">
        <v>25</v>
      </c>
      <c r="D1699" t="s">
        <v>19</v>
      </c>
      <c r="E1699" s="17">
        <v>6568.87</v>
      </c>
      <c r="F1699" s="17">
        <v>1536.67</v>
      </c>
      <c r="G1699" s="17">
        <v>1536.67</v>
      </c>
    </row>
    <row r="1700" spans="1:7" x14ac:dyDescent="0.3">
      <c r="A1700" t="s">
        <v>49</v>
      </c>
      <c r="B1700" t="s">
        <v>16</v>
      </c>
      <c r="C1700" t="s">
        <v>25</v>
      </c>
      <c r="D1700" t="s">
        <v>20</v>
      </c>
      <c r="E1700" s="17">
        <v>8048.86</v>
      </c>
      <c r="F1700" s="17">
        <v>2585.69</v>
      </c>
      <c r="G1700" s="17">
        <v>2585.69</v>
      </c>
    </row>
    <row r="1701" spans="1:7" x14ac:dyDescent="0.3">
      <c r="A1701" t="s">
        <v>49</v>
      </c>
      <c r="B1701" t="s">
        <v>16</v>
      </c>
      <c r="C1701" t="s">
        <v>25</v>
      </c>
      <c r="D1701" t="s">
        <v>21</v>
      </c>
      <c r="E1701" s="17">
        <v>6638.48</v>
      </c>
      <c r="F1701" s="17">
        <v>2455.7600000000002</v>
      </c>
      <c r="G1701" s="17">
        <v>2455.7600000000002</v>
      </c>
    </row>
    <row r="1702" spans="1:7" x14ac:dyDescent="0.3">
      <c r="A1702" t="s">
        <v>49</v>
      </c>
      <c r="B1702" t="s">
        <v>26</v>
      </c>
      <c r="C1702" t="s">
        <v>17</v>
      </c>
      <c r="D1702" t="s">
        <v>18</v>
      </c>
      <c r="E1702" s="17">
        <v>8793.08</v>
      </c>
      <c r="F1702" s="17">
        <v>1676.309999999999</v>
      </c>
      <c r="G1702" s="17">
        <v>1676.31</v>
      </c>
    </row>
    <row r="1703" spans="1:7" x14ac:dyDescent="0.3">
      <c r="A1703" t="s">
        <v>49</v>
      </c>
      <c r="B1703" t="s">
        <v>26</v>
      </c>
      <c r="C1703" t="s">
        <v>17</v>
      </c>
      <c r="D1703" t="s">
        <v>19</v>
      </c>
      <c r="E1703" s="17">
        <v>13416.16</v>
      </c>
      <c r="F1703" s="17">
        <v>3167.25</v>
      </c>
      <c r="G1703" s="17">
        <v>3167.25</v>
      </c>
    </row>
    <row r="1704" spans="1:7" x14ac:dyDescent="0.3">
      <c r="A1704" t="s">
        <v>49</v>
      </c>
      <c r="B1704" t="s">
        <v>26</v>
      </c>
      <c r="C1704" t="s">
        <v>17</v>
      </c>
      <c r="D1704" t="s">
        <v>20</v>
      </c>
      <c r="E1704" s="17">
        <v>23461.86</v>
      </c>
      <c r="F1704" s="17">
        <v>6317.41</v>
      </c>
      <c r="G1704" s="17">
        <v>6317.41</v>
      </c>
    </row>
    <row r="1705" spans="1:7" x14ac:dyDescent="0.3">
      <c r="A1705" t="s">
        <v>49</v>
      </c>
      <c r="B1705" t="s">
        <v>26</v>
      </c>
      <c r="C1705" t="s">
        <v>17</v>
      </c>
      <c r="D1705" t="s">
        <v>21</v>
      </c>
      <c r="E1705" s="17">
        <v>2062.9699999999998</v>
      </c>
      <c r="F1705" s="17">
        <v>745.44</v>
      </c>
      <c r="G1705" s="17">
        <v>745.44</v>
      </c>
    </row>
    <row r="1706" spans="1:7" x14ac:dyDescent="0.3">
      <c r="A1706" t="s">
        <v>49</v>
      </c>
      <c r="B1706" t="s">
        <v>26</v>
      </c>
      <c r="C1706" t="s">
        <v>22</v>
      </c>
      <c r="D1706" t="s">
        <v>18</v>
      </c>
      <c r="E1706" s="17">
        <v>22858.240000000002</v>
      </c>
      <c r="F1706" s="17">
        <v>9269.31</v>
      </c>
      <c r="G1706" s="17">
        <v>9269.31</v>
      </c>
    </row>
    <row r="1707" spans="1:7" x14ac:dyDescent="0.3">
      <c r="A1707" t="s">
        <v>49</v>
      </c>
      <c r="B1707" t="s">
        <v>26</v>
      </c>
      <c r="C1707" t="s">
        <v>22</v>
      </c>
      <c r="D1707" t="s">
        <v>19</v>
      </c>
      <c r="E1707" s="17">
        <v>17387.5</v>
      </c>
      <c r="F1707" s="17">
        <v>3829.93</v>
      </c>
      <c r="G1707" s="17">
        <v>3829.93</v>
      </c>
    </row>
    <row r="1708" spans="1:7" x14ac:dyDescent="0.3">
      <c r="A1708" t="s">
        <v>49</v>
      </c>
      <c r="B1708" t="s">
        <v>26</v>
      </c>
      <c r="C1708" t="s">
        <v>22</v>
      </c>
      <c r="D1708" t="s">
        <v>20</v>
      </c>
      <c r="E1708" s="17">
        <v>4071.9</v>
      </c>
      <c r="F1708" s="17">
        <v>1295.52</v>
      </c>
      <c r="G1708" s="17">
        <v>1295.52</v>
      </c>
    </row>
    <row r="1709" spans="1:7" x14ac:dyDescent="0.3">
      <c r="A1709" t="s">
        <v>49</v>
      </c>
      <c r="B1709" t="s">
        <v>26</v>
      </c>
      <c r="C1709" t="s">
        <v>22</v>
      </c>
      <c r="D1709" t="s">
        <v>21</v>
      </c>
      <c r="E1709" s="17">
        <v>18641.96</v>
      </c>
      <c r="F1709" s="17">
        <v>3865.380000000001</v>
      </c>
      <c r="G1709" s="17">
        <v>3865.38</v>
      </c>
    </row>
    <row r="1710" spans="1:7" x14ac:dyDescent="0.3">
      <c r="A1710" t="s">
        <v>49</v>
      </c>
      <c r="B1710" t="s">
        <v>26</v>
      </c>
      <c r="C1710" t="s">
        <v>23</v>
      </c>
      <c r="D1710" t="s">
        <v>18</v>
      </c>
      <c r="E1710" s="17">
        <v>7885.52</v>
      </c>
      <c r="F1710" s="17">
        <v>1911.55</v>
      </c>
      <c r="G1710" s="17">
        <v>1911.55</v>
      </c>
    </row>
    <row r="1711" spans="1:7" x14ac:dyDescent="0.3">
      <c r="A1711" t="s">
        <v>49</v>
      </c>
      <c r="B1711" t="s">
        <v>26</v>
      </c>
      <c r="C1711" t="s">
        <v>23</v>
      </c>
      <c r="D1711" t="s">
        <v>19</v>
      </c>
      <c r="E1711" s="17">
        <v>24739.32</v>
      </c>
      <c r="F1711" s="17">
        <v>6430.3899999999994</v>
      </c>
      <c r="G1711" s="17">
        <v>6430.39</v>
      </c>
    </row>
    <row r="1712" spans="1:7" x14ac:dyDescent="0.3">
      <c r="A1712" t="s">
        <v>49</v>
      </c>
      <c r="B1712" t="s">
        <v>26</v>
      </c>
      <c r="C1712" t="s">
        <v>23</v>
      </c>
      <c r="D1712" t="s">
        <v>20</v>
      </c>
      <c r="E1712" s="17">
        <v>12678.38</v>
      </c>
      <c r="F1712" s="17">
        <v>2623.77</v>
      </c>
      <c r="G1712" s="17">
        <v>2623.77</v>
      </c>
    </row>
    <row r="1713" spans="1:7" x14ac:dyDescent="0.3">
      <c r="A1713" t="s">
        <v>49</v>
      </c>
      <c r="B1713" t="s">
        <v>26</v>
      </c>
      <c r="C1713" t="s">
        <v>23</v>
      </c>
      <c r="D1713" t="s">
        <v>21</v>
      </c>
      <c r="E1713" s="17">
        <v>6018.14</v>
      </c>
      <c r="F1713" s="17">
        <v>1147.3599999999999</v>
      </c>
      <c r="G1713" s="17">
        <v>1147.3599999999999</v>
      </c>
    </row>
    <row r="1714" spans="1:7" x14ac:dyDescent="0.3">
      <c r="A1714" t="s">
        <v>49</v>
      </c>
      <c r="B1714" t="s">
        <v>26</v>
      </c>
      <c r="C1714" t="s">
        <v>24</v>
      </c>
      <c r="D1714" t="s">
        <v>18</v>
      </c>
      <c r="E1714" s="17">
        <v>8683.0499999999993</v>
      </c>
      <c r="F1714" s="17">
        <v>3442.23</v>
      </c>
      <c r="G1714" s="17">
        <v>3442.23</v>
      </c>
    </row>
    <row r="1715" spans="1:7" x14ac:dyDescent="0.3">
      <c r="A1715" t="s">
        <v>49</v>
      </c>
      <c r="B1715" t="s">
        <v>26</v>
      </c>
      <c r="C1715" t="s">
        <v>24</v>
      </c>
      <c r="D1715" t="s">
        <v>19</v>
      </c>
      <c r="E1715" s="17">
        <v>9192.26</v>
      </c>
      <c r="F1715" s="17">
        <v>3487.6</v>
      </c>
      <c r="G1715" s="17">
        <v>3487.6</v>
      </c>
    </row>
    <row r="1716" spans="1:7" x14ac:dyDescent="0.3">
      <c r="A1716" t="s">
        <v>49</v>
      </c>
      <c r="B1716" t="s">
        <v>26</v>
      </c>
      <c r="C1716" t="s">
        <v>24</v>
      </c>
      <c r="D1716" t="s">
        <v>20</v>
      </c>
      <c r="E1716" s="17">
        <v>4184.96</v>
      </c>
      <c r="F1716" s="17">
        <v>1610.02</v>
      </c>
      <c r="G1716" s="17">
        <v>1610.02</v>
      </c>
    </row>
    <row r="1717" spans="1:7" x14ac:dyDescent="0.3">
      <c r="A1717" t="s">
        <v>49</v>
      </c>
      <c r="B1717" t="s">
        <v>26</v>
      </c>
      <c r="C1717" t="s">
        <v>24</v>
      </c>
      <c r="D1717" t="s">
        <v>21</v>
      </c>
      <c r="E1717" s="17">
        <v>3055.45</v>
      </c>
      <c r="F1717" s="17">
        <v>1252.8599999999999</v>
      </c>
      <c r="G1717" s="17">
        <v>1252.8599999999999</v>
      </c>
    </row>
    <row r="1718" spans="1:7" x14ac:dyDescent="0.3">
      <c r="A1718" t="s">
        <v>49</v>
      </c>
      <c r="B1718" t="s">
        <v>26</v>
      </c>
      <c r="C1718" t="s">
        <v>25</v>
      </c>
      <c r="D1718" t="s">
        <v>18</v>
      </c>
      <c r="E1718" s="17">
        <v>17257.169999999998</v>
      </c>
      <c r="F1718" s="17">
        <v>3900.7800000000011</v>
      </c>
      <c r="G1718" s="17">
        <v>3900.78</v>
      </c>
    </row>
    <row r="1719" spans="1:7" x14ac:dyDescent="0.3">
      <c r="A1719" t="s">
        <v>49</v>
      </c>
      <c r="B1719" t="s">
        <v>26</v>
      </c>
      <c r="C1719" t="s">
        <v>25</v>
      </c>
      <c r="D1719" t="s">
        <v>19</v>
      </c>
      <c r="E1719" s="17">
        <v>10223.129999999999</v>
      </c>
      <c r="F1719" s="17">
        <v>3048.360000000001</v>
      </c>
      <c r="G1719" s="17">
        <v>3048.36</v>
      </c>
    </row>
    <row r="1720" spans="1:7" x14ac:dyDescent="0.3">
      <c r="A1720" t="s">
        <v>49</v>
      </c>
      <c r="B1720" t="s">
        <v>26</v>
      </c>
      <c r="C1720" t="s">
        <v>25</v>
      </c>
      <c r="D1720" t="s">
        <v>20</v>
      </c>
      <c r="E1720" s="17">
        <v>16301.56</v>
      </c>
      <c r="F1720" s="17">
        <v>6800.82</v>
      </c>
      <c r="G1720" s="17">
        <v>6800.82</v>
      </c>
    </row>
    <row r="1721" spans="1:7" x14ac:dyDescent="0.3">
      <c r="A1721" t="s">
        <v>49</v>
      </c>
      <c r="B1721" t="s">
        <v>26</v>
      </c>
      <c r="C1721" t="s">
        <v>25</v>
      </c>
      <c r="D1721" t="s">
        <v>21</v>
      </c>
      <c r="E1721" s="17">
        <v>4137.88</v>
      </c>
      <c r="F1721" s="17">
        <v>1655.32</v>
      </c>
      <c r="G1721" s="17">
        <v>1655.32</v>
      </c>
    </row>
    <row r="1722" spans="1:7" x14ac:dyDescent="0.3">
      <c r="A1722" t="s">
        <v>49</v>
      </c>
      <c r="B1722" t="s">
        <v>27</v>
      </c>
      <c r="C1722" t="s">
        <v>17</v>
      </c>
      <c r="D1722" t="s">
        <v>18</v>
      </c>
      <c r="E1722" s="17">
        <v>6206</v>
      </c>
      <c r="F1722" s="17">
        <v>1788.63</v>
      </c>
      <c r="G1722" s="17">
        <v>1788.63</v>
      </c>
    </row>
    <row r="1723" spans="1:7" x14ac:dyDescent="0.3">
      <c r="A1723" t="s">
        <v>49</v>
      </c>
      <c r="B1723" t="s">
        <v>27</v>
      </c>
      <c r="C1723" t="s">
        <v>17</v>
      </c>
      <c r="D1723" t="s">
        <v>19</v>
      </c>
      <c r="E1723" s="17">
        <v>24133.13</v>
      </c>
      <c r="F1723" s="17">
        <v>6115.2099999999991</v>
      </c>
      <c r="G1723" s="17">
        <v>6115.21</v>
      </c>
    </row>
    <row r="1724" spans="1:7" x14ac:dyDescent="0.3">
      <c r="A1724" t="s">
        <v>49</v>
      </c>
      <c r="B1724" t="s">
        <v>27</v>
      </c>
      <c r="C1724" t="s">
        <v>17</v>
      </c>
      <c r="D1724" t="s">
        <v>20</v>
      </c>
      <c r="E1724" s="17">
        <v>10871.46</v>
      </c>
      <c r="F1724" s="17">
        <v>4453.83</v>
      </c>
      <c r="G1724" s="17">
        <v>4453.83</v>
      </c>
    </row>
    <row r="1725" spans="1:7" x14ac:dyDescent="0.3">
      <c r="A1725" t="s">
        <v>49</v>
      </c>
      <c r="B1725" t="s">
        <v>27</v>
      </c>
      <c r="C1725" t="s">
        <v>17</v>
      </c>
      <c r="D1725" t="s">
        <v>21</v>
      </c>
      <c r="E1725" s="17">
        <v>20397.68</v>
      </c>
      <c r="F1725" s="17">
        <v>7245.02</v>
      </c>
      <c r="G1725" s="17">
        <v>7245.02</v>
      </c>
    </row>
    <row r="1726" spans="1:7" x14ac:dyDescent="0.3">
      <c r="A1726" t="s">
        <v>49</v>
      </c>
      <c r="B1726" t="s">
        <v>27</v>
      </c>
      <c r="C1726" t="s">
        <v>22</v>
      </c>
      <c r="D1726" t="s">
        <v>18</v>
      </c>
      <c r="E1726" s="17">
        <v>20328.919999999998</v>
      </c>
      <c r="F1726" s="17">
        <v>4279.75</v>
      </c>
      <c r="G1726" s="17">
        <v>4279.75</v>
      </c>
    </row>
    <row r="1727" spans="1:7" x14ac:dyDescent="0.3">
      <c r="A1727" t="s">
        <v>49</v>
      </c>
      <c r="B1727" t="s">
        <v>27</v>
      </c>
      <c r="C1727" t="s">
        <v>22</v>
      </c>
      <c r="D1727" t="s">
        <v>19</v>
      </c>
      <c r="E1727" s="17">
        <v>18011.91</v>
      </c>
      <c r="F1727" s="17">
        <v>3527.35</v>
      </c>
      <c r="G1727" s="17">
        <v>3527.35</v>
      </c>
    </row>
    <row r="1728" spans="1:7" x14ac:dyDescent="0.3">
      <c r="A1728" t="s">
        <v>49</v>
      </c>
      <c r="B1728" t="s">
        <v>27</v>
      </c>
      <c r="C1728" t="s">
        <v>22</v>
      </c>
      <c r="D1728" t="s">
        <v>20</v>
      </c>
      <c r="E1728" s="17">
        <v>23676.74</v>
      </c>
      <c r="F1728" s="17">
        <v>5280.7799999999988</v>
      </c>
      <c r="G1728" s="17">
        <v>5280.78</v>
      </c>
    </row>
    <row r="1729" spans="1:7" x14ac:dyDescent="0.3">
      <c r="A1729" t="s">
        <v>49</v>
      </c>
      <c r="B1729" t="s">
        <v>27</v>
      </c>
      <c r="C1729" t="s">
        <v>22</v>
      </c>
      <c r="D1729" t="s">
        <v>21</v>
      </c>
      <c r="E1729" s="17">
        <v>11568.64</v>
      </c>
      <c r="F1729" s="17">
        <v>3927.58</v>
      </c>
      <c r="G1729" s="17">
        <v>3927.58</v>
      </c>
    </row>
    <row r="1730" spans="1:7" x14ac:dyDescent="0.3">
      <c r="A1730" t="s">
        <v>49</v>
      </c>
      <c r="B1730" t="s">
        <v>27</v>
      </c>
      <c r="C1730" t="s">
        <v>23</v>
      </c>
      <c r="D1730" t="s">
        <v>18</v>
      </c>
      <c r="E1730" s="17">
        <v>20452.09</v>
      </c>
      <c r="F1730" s="17">
        <v>7427.51</v>
      </c>
      <c r="G1730" s="17">
        <v>7427.51</v>
      </c>
    </row>
    <row r="1731" spans="1:7" x14ac:dyDescent="0.3">
      <c r="A1731" t="s">
        <v>49</v>
      </c>
      <c r="B1731" t="s">
        <v>27</v>
      </c>
      <c r="C1731" t="s">
        <v>23</v>
      </c>
      <c r="D1731" t="s">
        <v>19</v>
      </c>
      <c r="E1731" s="17">
        <v>6168.99</v>
      </c>
      <c r="F1731" s="17">
        <v>1742.940000000001</v>
      </c>
      <c r="G1731" s="17">
        <v>1742.94</v>
      </c>
    </row>
    <row r="1732" spans="1:7" x14ac:dyDescent="0.3">
      <c r="A1732" t="s">
        <v>49</v>
      </c>
      <c r="B1732" t="s">
        <v>27</v>
      </c>
      <c r="C1732" t="s">
        <v>23</v>
      </c>
      <c r="D1732" t="s">
        <v>20</v>
      </c>
      <c r="E1732" s="17">
        <v>10247.780000000001</v>
      </c>
      <c r="F1732" s="17">
        <v>1924.33</v>
      </c>
      <c r="G1732" s="17">
        <v>1924.33</v>
      </c>
    </row>
    <row r="1733" spans="1:7" x14ac:dyDescent="0.3">
      <c r="A1733" t="s">
        <v>49</v>
      </c>
      <c r="B1733" t="s">
        <v>27</v>
      </c>
      <c r="C1733" t="s">
        <v>23</v>
      </c>
      <c r="D1733" t="s">
        <v>21</v>
      </c>
      <c r="E1733" s="17">
        <v>17742.68</v>
      </c>
      <c r="F1733" s="17">
        <v>7210.7099999999991</v>
      </c>
      <c r="G1733" s="17">
        <v>7210.71</v>
      </c>
    </row>
    <row r="1734" spans="1:7" x14ac:dyDescent="0.3">
      <c r="A1734" t="s">
        <v>49</v>
      </c>
      <c r="B1734" t="s">
        <v>27</v>
      </c>
      <c r="C1734" t="s">
        <v>24</v>
      </c>
      <c r="D1734" t="s">
        <v>18</v>
      </c>
      <c r="E1734" s="17">
        <v>24389.23</v>
      </c>
      <c r="F1734" s="17">
        <v>5250.4399999999987</v>
      </c>
      <c r="G1734" s="17">
        <v>5250.44</v>
      </c>
    </row>
    <row r="1735" spans="1:7" x14ac:dyDescent="0.3">
      <c r="A1735" t="s">
        <v>49</v>
      </c>
      <c r="B1735" t="s">
        <v>27</v>
      </c>
      <c r="C1735" t="s">
        <v>24</v>
      </c>
      <c r="D1735" t="s">
        <v>19</v>
      </c>
      <c r="E1735" s="17">
        <v>23169.15</v>
      </c>
      <c r="F1735" s="17">
        <v>4876.9500000000007</v>
      </c>
      <c r="G1735" s="17">
        <v>4876.95</v>
      </c>
    </row>
    <row r="1736" spans="1:7" x14ac:dyDescent="0.3">
      <c r="A1736" t="s">
        <v>49</v>
      </c>
      <c r="B1736" t="s">
        <v>27</v>
      </c>
      <c r="C1736" t="s">
        <v>24</v>
      </c>
      <c r="D1736" t="s">
        <v>20</v>
      </c>
      <c r="E1736" s="17">
        <v>11459.54</v>
      </c>
      <c r="F1736" s="17">
        <v>2204.9599999999991</v>
      </c>
      <c r="G1736" s="17">
        <v>2204.96</v>
      </c>
    </row>
    <row r="1737" spans="1:7" x14ac:dyDescent="0.3">
      <c r="A1737" t="s">
        <v>49</v>
      </c>
      <c r="B1737" t="s">
        <v>27</v>
      </c>
      <c r="C1737" t="s">
        <v>24</v>
      </c>
      <c r="D1737" t="s">
        <v>21</v>
      </c>
      <c r="E1737" s="17">
        <v>8017.1</v>
      </c>
      <c r="F1737" s="17">
        <v>2123.2800000000011</v>
      </c>
      <c r="G1737" s="17">
        <v>2123.2800000000002</v>
      </c>
    </row>
    <row r="1738" spans="1:7" x14ac:dyDescent="0.3">
      <c r="A1738" t="s">
        <v>49</v>
      </c>
      <c r="B1738" t="s">
        <v>27</v>
      </c>
      <c r="C1738" t="s">
        <v>25</v>
      </c>
      <c r="D1738" t="s">
        <v>18</v>
      </c>
      <c r="E1738" s="17">
        <v>18205.07</v>
      </c>
      <c r="F1738" s="17">
        <v>6609.18</v>
      </c>
      <c r="G1738" s="17">
        <v>6609.18</v>
      </c>
    </row>
    <row r="1739" spans="1:7" x14ac:dyDescent="0.3">
      <c r="A1739" t="s">
        <v>49</v>
      </c>
      <c r="B1739" t="s">
        <v>27</v>
      </c>
      <c r="C1739" t="s">
        <v>25</v>
      </c>
      <c r="D1739" t="s">
        <v>19</v>
      </c>
      <c r="E1739" s="17">
        <v>19653.16</v>
      </c>
      <c r="F1739" s="17">
        <v>6597.4700000000012</v>
      </c>
      <c r="G1739" s="17">
        <v>6597.47</v>
      </c>
    </row>
    <row r="1740" spans="1:7" x14ac:dyDescent="0.3">
      <c r="A1740" t="s">
        <v>49</v>
      </c>
      <c r="B1740" t="s">
        <v>27</v>
      </c>
      <c r="C1740" t="s">
        <v>25</v>
      </c>
      <c r="D1740" t="s">
        <v>20</v>
      </c>
      <c r="E1740" s="17">
        <v>14995.28</v>
      </c>
      <c r="F1740" s="17">
        <v>6658.3799999999992</v>
      </c>
      <c r="G1740" s="17">
        <v>6658.38</v>
      </c>
    </row>
    <row r="1741" spans="1:7" x14ac:dyDescent="0.3">
      <c r="A1741" t="s">
        <v>49</v>
      </c>
      <c r="B1741" t="s">
        <v>27</v>
      </c>
      <c r="C1741" t="s">
        <v>25</v>
      </c>
      <c r="D1741" t="s">
        <v>21</v>
      </c>
      <c r="E1741" s="17">
        <v>17406.419999999998</v>
      </c>
      <c r="F1741" s="17">
        <v>4723.08</v>
      </c>
      <c r="G1741" s="17">
        <v>4723.08</v>
      </c>
    </row>
    <row r="1742" spans="1:7" x14ac:dyDescent="0.3">
      <c r="A1742" t="s">
        <v>49</v>
      </c>
      <c r="B1742" t="s">
        <v>28</v>
      </c>
      <c r="C1742" t="s">
        <v>17</v>
      </c>
      <c r="D1742" t="s">
        <v>18</v>
      </c>
      <c r="E1742" s="17">
        <v>14031.37</v>
      </c>
      <c r="F1742" s="17">
        <v>5179.7700000000004</v>
      </c>
      <c r="G1742" s="17">
        <v>5179.7700000000004</v>
      </c>
    </row>
    <row r="1743" spans="1:7" x14ac:dyDescent="0.3">
      <c r="A1743" t="s">
        <v>49</v>
      </c>
      <c r="B1743" t="s">
        <v>28</v>
      </c>
      <c r="C1743" t="s">
        <v>17</v>
      </c>
      <c r="D1743" t="s">
        <v>19</v>
      </c>
      <c r="E1743" s="17">
        <v>4190.57</v>
      </c>
      <c r="F1743" s="17">
        <v>1503</v>
      </c>
      <c r="G1743" s="17">
        <v>1503</v>
      </c>
    </row>
    <row r="1744" spans="1:7" x14ac:dyDescent="0.3">
      <c r="A1744" t="s">
        <v>49</v>
      </c>
      <c r="B1744" t="s">
        <v>28</v>
      </c>
      <c r="C1744" t="s">
        <v>17</v>
      </c>
      <c r="D1744" t="s">
        <v>20</v>
      </c>
      <c r="E1744" s="17">
        <v>7717.27</v>
      </c>
      <c r="F1744" s="17">
        <v>2109.5300000000011</v>
      </c>
      <c r="G1744" s="17">
        <v>2109.5300000000002</v>
      </c>
    </row>
    <row r="1745" spans="1:7" x14ac:dyDescent="0.3">
      <c r="A1745" t="s">
        <v>49</v>
      </c>
      <c r="B1745" t="s">
        <v>28</v>
      </c>
      <c r="C1745" t="s">
        <v>17</v>
      </c>
      <c r="D1745" t="s">
        <v>21</v>
      </c>
      <c r="E1745" s="17">
        <v>17554.8</v>
      </c>
      <c r="F1745" s="17">
        <v>4984.1000000000004</v>
      </c>
      <c r="G1745" s="17">
        <v>4984.1000000000004</v>
      </c>
    </row>
    <row r="1746" spans="1:7" x14ac:dyDescent="0.3">
      <c r="A1746" t="s">
        <v>49</v>
      </c>
      <c r="B1746" t="s">
        <v>28</v>
      </c>
      <c r="C1746" t="s">
        <v>22</v>
      </c>
      <c r="D1746" t="s">
        <v>18</v>
      </c>
      <c r="E1746" s="17">
        <v>21297.759999999998</v>
      </c>
      <c r="F1746" s="17">
        <v>7044.2999999999993</v>
      </c>
      <c r="G1746" s="17">
        <v>7044.3</v>
      </c>
    </row>
    <row r="1747" spans="1:7" x14ac:dyDescent="0.3">
      <c r="A1747" t="s">
        <v>49</v>
      </c>
      <c r="B1747" t="s">
        <v>28</v>
      </c>
      <c r="C1747" t="s">
        <v>22</v>
      </c>
      <c r="D1747" t="s">
        <v>19</v>
      </c>
      <c r="E1747" s="17">
        <v>24719.21</v>
      </c>
      <c r="F1747" s="17">
        <v>4813.6399999999994</v>
      </c>
      <c r="G1747" s="17">
        <v>4813.6400000000003</v>
      </c>
    </row>
    <row r="1748" spans="1:7" x14ac:dyDescent="0.3">
      <c r="A1748" t="s">
        <v>49</v>
      </c>
      <c r="B1748" t="s">
        <v>28</v>
      </c>
      <c r="C1748" t="s">
        <v>22</v>
      </c>
      <c r="D1748" t="s">
        <v>20</v>
      </c>
      <c r="E1748" s="17">
        <v>16798.169999999998</v>
      </c>
      <c r="F1748" s="17">
        <v>3735.42</v>
      </c>
      <c r="G1748" s="17">
        <v>3735.42</v>
      </c>
    </row>
    <row r="1749" spans="1:7" x14ac:dyDescent="0.3">
      <c r="A1749" t="s">
        <v>49</v>
      </c>
      <c r="B1749" t="s">
        <v>28</v>
      </c>
      <c r="C1749" t="s">
        <v>22</v>
      </c>
      <c r="D1749" t="s">
        <v>21</v>
      </c>
      <c r="E1749" s="17">
        <v>21523.45</v>
      </c>
      <c r="F1749" s="17">
        <v>8824.73</v>
      </c>
      <c r="G1749" s="17">
        <v>8824.73</v>
      </c>
    </row>
    <row r="1750" spans="1:7" x14ac:dyDescent="0.3">
      <c r="A1750" t="s">
        <v>49</v>
      </c>
      <c r="B1750" t="s">
        <v>28</v>
      </c>
      <c r="C1750" t="s">
        <v>23</v>
      </c>
      <c r="D1750" t="s">
        <v>18</v>
      </c>
      <c r="E1750" s="17">
        <v>21996.560000000001</v>
      </c>
      <c r="F1750" s="17">
        <v>4404.0099999999984</v>
      </c>
      <c r="G1750" s="17">
        <v>4404.01</v>
      </c>
    </row>
    <row r="1751" spans="1:7" x14ac:dyDescent="0.3">
      <c r="A1751" t="s">
        <v>49</v>
      </c>
      <c r="B1751" t="s">
        <v>28</v>
      </c>
      <c r="C1751" t="s">
        <v>23</v>
      </c>
      <c r="D1751" t="s">
        <v>19</v>
      </c>
      <c r="E1751" s="17">
        <v>13307.9</v>
      </c>
      <c r="F1751" s="17">
        <v>3260.98</v>
      </c>
      <c r="G1751" s="17">
        <v>3260.98</v>
      </c>
    </row>
    <row r="1752" spans="1:7" x14ac:dyDescent="0.3">
      <c r="A1752" t="s">
        <v>49</v>
      </c>
      <c r="B1752" t="s">
        <v>28</v>
      </c>
      <c r="C1752" t="s">
        <v>23</v>
      </c>
      <c r="D1752" t="s">
        <v>20</v>
      </c>
      <c r="E1752" s="17">
        <v>24313.34</v>
      </c>
      <c r="F1752" s="17">
        <v>4706.93</v>
      </c>
      <c r="G1752" s="17">
        <v>4706.93</v>
      </c>
    </row>
    <row r="1753" spans="1:7" x14ac:dyDescent="0.3">
      <c r="A1753" t="s">
        <v>49</v>
      </c>
      <c r="B1753" t="s">
        <v>28</v>
      </c>
      <c r="C1753" t="s">
        <v>23</v>
      </c>
      <c r="D1753" t="s">
        <v>21</v>
      </c>
      <c r="E1753" s="17">
        <v>7122.25</v>
      </c>
      <c r="F1753" s="17">
        <v>2519.110000000001</v>
      </c>
      <c r="G1753" s="17">
        <v>2519.11</v>
      </c>
    </row>
    <row r="1754" spans="1:7" x14ac:dyDescent="0.3">
      <c r="A1754" t="s">
        <v>49</v>
      </c>
      <c r="B1754" t="s">
        <v>28</v>
      </c>
      <c r="C1754" t="s">
        <v>24</v>
      </c>
      <c r="D1754" t="s">
        <v>18</v>
      </c>
      <c r="E1754" s="17">
        <v>11275.37</v>
      </c>
      <c r="F1754" s="17">
        <v>2744.99</v>
      </c>
      <c r="G1754" s="17">
        <v>2744.99</v>
      </c>
    </row>
    <row r="1755" spans="1:7" x14ac:dyDescent="0.3">
      <c r="A1755" t="s">
        <v>49</v>
      </c>
      <c r="B1755" t="s">
        <v>28</v>
      </c>
      <c r="C1755" t="s">
        <v>24</v>
      </c>
      <c r="D1755" t="s">
        <v>19</v>
      </c>
      <c r="E1755" s="17">
        <v>12559.18</v>
      </c>
      <c r="F1755" s="17">
        <v>4977.71</v>
      </c>
      <c r="G1755" s="17">
        <v>4977.71</v>
      </c>
    </row>
    <row r="1756" spans="1:7" x14ac:dyDescent="0.3">
      <c r="A1756" t="s">
        <v>49</v>
      </c>
      <c r="B1756" t="s">
        <v>28</v>
      </c>
      <c r="C1756" t="s">
        <v>24</v>
      </c>
      <c r="D1756" t="s">
        <v>20</v>
      </c>
      <c r="E1756" s="17">
        <v>12306.27</v>
      </c>
      <c r="F1756" s="17">
        <v>5061.3100000000004</v>
      </c>
      <c r="G1756" s="17">
        <v>5061.3100000000004</v>
      </c>
    </row>
    <row r="1757" spans="1:7" x14ac:dyDescent="0.3">
      <c r="A1757" t="s">
        <v>49</v>
      </c>
      <c r="B1757" t="s">
        <v>28</v>
      </c>
      <c r="C1757" t="s">
        <v>24</v>
      </c>
      <c r="D1757" t="s">
        <v>21</v>
      </c>
      <c r="E1757" s="17">
        <v>12282.57</v>
      </c>
      <c r="F1757" s="17">
        <v>2604.5300000000011</v>
      </c>
      <c r="G1757" s="17">
        <v>2604.5300000000002</v>
      </c>
    </row>
    <row r="1758" spans="1:7" x14ac:dyDescent="0.3">
      <c r="A1758" t="s">
        <v>49</v>
      </c>
      <c r="B1758" t="s">
        <v>28</v>
      </c>
      <c r="C1758" t="s">
        <v>25</v>
      </c>
      <c r="D1758" t="s">
        <v>18</v>
      </c>
      <c r="E1758" s="17">
        <v>13439.59</v>
      </c>
      <c r="F1758" s="17">
        <v>4790.01</v>
      </c>
      <c r="G1758" s="17">
        <v>4790.01</v>
      </c>
    </row>
    <row r="1759" spans="1:7" x14ac:dyDescent="0.3">
      <c r="A1759" t="s">
        <v>49</v>
      </c>
      <c r="B1759" t="s">
        <v>28</v>
      </c>
      <c r="C1759" t="s">
        <v>25</v>
      </c>
      <c r="D1759" t="s">
        <v>19</v>
      </c>
      <c r="E1759" s="17">
        <v>4360.8</v>
      </c>
      <c r="F1759" s="17">
        <v>1270.44</v>
      </c>
      <c r="G1759" s="17">
        <v>1270.44</v>
      </c>
    </row>
    <row r="1760" spans="1:7" x14ac:dyDescent="0.3">
      <c r="A1760" t="s">
        <v>49</v>
      </c>
      <c r="B1760" t="s">
        <v>28</v>
      </c>
      <c r="C1760" t="s">
        <v>25</v>
      </c>
      <c r="D1760" t="s">
        <v>20</v>
      </c>
      <c r="E1760" s="17">
        <v>14814.01</v>
      </c>
      <c r="F1760" s="17">
        <v>2667.1999999999989</v>
      </c>
      <c r="G1760" s="17">
        <v>2667.2</v>
      </c>
    </row>
    <row r="1761" spans="1:7" x14ac:dyDescent="0.3">
      <c r="A1761" t="s">
        <v>49</v>
      </c>
      <c r="B1761" t="s">
        <v>28</v>
      </c>
      <c r="C1761" t="s">
        <v>25</v>
      </c>
      <c r="D1761" t="s">
        <v>21</v>
      </c>
      <c r="E1761" s="17">
        <v>4090.6</v>
      </c>
      <c r="F1761" s="17">
        <v>1403.63</v>
      </c>
      <c r="G1761" s="17">
        <v>1403.63</v>
      </c>
    </row>
    <row r="1762" spans="1:7" x14ac:dyDescent="0.3">
      <c r="A1762" t="s">
        <v>50</v>
      </c>
      <c r="B1762" t="s">
        <v>16</v>
      </c>
      <c r="C1762" t="s">
        <v>17</v>
      </c>
      <c r="D1762" t="s">
        <v>18</v>
      </c>
      <c r="E1762" s="17">
        <v>16238.52</v>
      </c>
      <c r="F1762" s="17">
        <v>4258.41</v>
      </c>
      <c r="G1762" s="17">
        <v>4258.41</v>
      </c>
    </row>
    <row r="1763" spans="1:7" x14ac:dyDescent="0.3">
      <c r="A1763" t="s">
        <v>50</v>
      </c>
      <c r="B1763" t="s">
        <v>16</v>
      </c>
      <c r="C1763" t="s">
        <v>17</v>
      </c>
      <c r="D1763" t="s">
        <v>19</v>
      </c>
      <c r="E1763" s="17">
        <v>13691.77</v>
      </c>
      <c r="F1763" s="17">
        <v>3229.2000000000012</v>
      </c>
      <c r="G1763" s="17">
        <v>3229.2</v>
      </c>
    </row>
    <row r="1764" spans="1:7" x14ac:dyDescent="0.3">
      <c r="A1764" t="s">
        <v>50</v>
      </c>
      <c r="B1764" t="s">
        <v>16</v>
      </c>
      <c r="C1764" t="s">
        <v>17</v>
      </c>
      <c r="D1764" t="s">
        <v>20</v>
      </c>
      <c r="E1764" s="17">
        <v>17443.91</v>
      </c>
      <c r="F1764" s="17">
        <v>7615.9399999999987</v>
      </c>
      <c r="G1764" s="17">
        <v>7615.94</v>
      </c>
    </row>
    <row r="1765" spans="1:7" x14ac:dyDescent="0.3">
      <c r="A1765" t="s">
        <v>50</v>
      </c>
      <c r="B1765" t="s">
        <v>16</v>
      </c>
      <c r="C1765" t="s">
        <v>17</v>
      </c>
      <c r="D1765" t="s">
        <v>21</v>
      </c>
      <c r="E1765" s="17">
        <v>10356.879999999999</v>
      </c>
      <c r="F1765" s="17">
        <v>2016.01</v>
      </c>
      <c r="G1765" s="17">
        <v>2016.01</v>
      </c>
    </row>
    <row r="1766" spans="1:7" x14ac:dyDescent="0.3">
      <c r="A1766" t="s">
        <v>50</v>
      </c>
      <c r="B1766" t="s">
        <v>16</v>
      </c>
      <c r="C1766" t="s">
        <v>22</v>
      </c>
      <c r="D1766" t="s">
        <v>18</v>
      </c>
      <c r="E1766" s="17">
        <v>7127.12</v>
      </c>
      <c r="F1766" s="17">
        <v>2157.41</v>
      </c>
      <c r="G1766" s="17">
        <v>2157.41</v>
      </c>
    </row>
    <row r="1767" spans="1:7" x14ac:dyDescent="0.3">
      <c r="A1767" t="s">
        <v>50</v>
      </c>
      <c r="B1767" t="s">
        <v>16</v>
      </c>
      <c r="C1767" t="s">
        <v>22</v>
      </c>
      <c r="D1767" t="s">
        <v>19</v>
      </c>
      <c r="E1767" s="17">
        <v>14883.47</v>
      </c>
      <c r="F1767" s="17">
        <v>5169.5399999999991</v>
      </c>
      <c r="G1767" s="17">
        <v>5169.54</v>
      </c>
    </row>
    <row r="1768" spans="1:7" x14ac:dyDescent="0.3">
      <c r="A1768" t="s">
        <v>50</v>
      </c>
      <c r="B1768" t="s">
        <v>16</v>
      </c>
      <c r="C1768" t="s">
        <v>22</v>
      </c>
      <c r="D1768" t="s">
        <v>20</v>
      </c>
      <c r="E1768" s="17">
        <v>12882.07</v>
      </c>
      <c r="F1768" s="17">
        <v>4604.5</v>
      </c>
      <c r="G1768" s="17">
        <v>4604.5</v>
      </c>
    </row>
    <row r="1769" spans="1:7" x14ac:dyDescent="0.3">
      <c r="A1769" t="s">
        <v>50</v>
      </c>
      <c r="B1769" t="s">
        <v>16</v>
      </c>
      <c r="C1769" t="s">
        <v>22</v>
      </c>
      <c r="D1769" t="s">
        <v>21</v>
      </c>
      <c r="E1769" s="17">
        <v>18466.009999999998</v>
      </c>
      <c r="F1769" s="17">
        <v>3892.380000000001</v>
      </c>
      <c r="G1769" s="17">
        <v>3892.38</v>
      </c>
    </row>
    <row r="1770" spans="1:7" x14ac:dyDescent="0.3">
      <c r="A1770" t="s">
        <v>50</v>
      </c>
      <c r="B1770" t="s">
        <v>16</v>
      </c>
      <c r="C1770" t="s">
        <v>23</v>
      </c>
      <c r="D1770" t="s">
        <v>18</v>
      </c>
      <c r="E1770" s="17">
        <v>19464.36</v>
      </c>
      <c r="F1770" s="17">
        <v>4668.9500000000007</v>
      </c>
      <c r="G1770" s="17">
        <v>4668.95</v>
      </c>
    </row>
    <row r="1771" spans="1:7" x14ac:dyDescent="0.3">
      <c r="A1771" t="s">
        <v>50</v>
      </c>
      <c r="B1771" t="s">
        <v>16</v>
      </c>
      <c r="C1771" t="s">
        <v>23</v>
      </c>
      <c r="D1771" t="s">
        <v>19</v>
      </c>
      <c r="E1771" s="17">
        <v>9851.2099999999991</v>
      </c>
      <c r="F1771" s="17">
        <v>3980.57</v>
      </c>
      <c r="G1771" s="17">
        <v>3980.57</v>
      </c>
    </row>
    <row r="1772" spans="1:7" x14ac:dyDescent="0.3">
      <c r="A1772" t="s">
        <v>50</v>
      </c>
      <c r="B1772" t="s">
        <v>16</v>
      </c>
      <c r="C1772" t="s">
        <v>23</v>
      </c>
      <c r="D1772" t="s">
        <v>20</v>
      </c>
      <c r="E1772" s="17">
        <v>24181.97</v>
      </c>
      <c r="F1772" s="17">
        <v>6259.1500000000005</v>
      </c>
      <c r="G1772" s="17">
        <v>6259.15</v>
      </c>
    </row>
    <row r="1773" spans="1:7" x14ac:dyDescent="0.3">
      <c r="A1773" t="s">
        <v>50</v>
      </c>
      <c r="B1773" t="s">
        <v>16</v>
      </c>
      <c r="C1773" t="s">
        <v>23</v>
      </c>
      <c r="D1773" t="s">
        <v>21</v>
      </c>
      <c r="E1773" s="17">
        <v>14005.66</v>
      </c>
      <c r="F1773" s="17">
        <v>5176.01</v>
      </c>
      <c r="G1773" s="17">
        <v>5176.01</v>
      </c>
    </row>
    <row r="1774" spans="1:7" x14ac:dyDescent="0.3">
      <c r="A1774" t="s">
        <v>50</v>
      </c>
      <c r="B1774" t="s">
        <v>16</v>
      </c>
      <c r="C1774" t="s">
        <v>24</v>
      </c>
      <c r="D1774" t="s">
        <v>18</v>
      </c>
      <c r="E1774" s="17">
        <v>3052.9</v>
      </c>
      <c r="F1774" s="17">
        <v>684.82999999999993</v>
      </c>
      <c r="G1774" s="17">
        <v>684.83</v>
      </c>
    </row>
    <row r="1775" spans="1:7" x14ac:dyDescent="0.3">
      <c r="A1775" t="s">
        <v>50</v>
      </c>
      <c r="B1775" t="s">
        <v>16</v>
      </c>
      <c r="C1775" t="s">
        <v>24</v>
      </c>
      <c r="D1775" t="s">
        <v>19</v>
      </c>
      <c r="E1775" s="17">
        <v>5230.33</v>
      </c>
      <c r="F1775" s="17">
        <v>1953.8</v>
      </c>
      <c r="G1775" s="17">
        <v>1953.8</v>
      </c>
    </row>
    <row r="1776" spans="1:7" x14ac:dyDescent="0.3">
      <c r="A1776" t="s">
        <v>50</v>
      </c>
      <c r="B1776" t="s">
        <v>16</v>
      </c>
      <c r="C1776" t="s">
        <v>24</v>
      </c>
      <c r="D1776" t="s">
        <v>20</v>
      </c>
      <c r="E1776" s="17">
        <v>18595.86</v>
      </c>
      <c r="F1776" s="17">
        <v>3884.2999999999988</v>
      </c>
      <c r="G1776" s="17">
        <v>3884.3</v>
      </c>
    </row>
    <row r="1777" spans="1:7" x14ac:dyDescent="0.3">
      <c r="A1777" t="s">
        <v>50</v>
      </c>
      <c r="B1777" t="s">
        <v>16</v>
      </c>
      <c r="C1777" t="s">
        <v>24</v>
      </c>
      <c r="D1777" t="s">
        <v>21</v>
      </c>
      <c r="E1777" s="17">
        <v>16049.59</v>
      </c>
      <c r="F1777" s="17">
        <v>3701.619999999999</v>
      </c>
      <c r="G1777" s="17">
        <v>3701.62</v>
      </c>
    </row>
    <row r="1778" spans="1:7" x14ac:dyDescent="0.3">
      <c r="A1778" t="s">
        <v>50</v>
      </c>
      <c r="B1778" t="s">
        <v>16</v>
      </c>
      <c r="C1778" t="s">
        <v>25</v>
      </c>
      <c r="D1778" t="s">
        <v>18</v>
      </c>
      <c r="E1778" s="17">
        <v>23394.97</v>
      </c>
      <c r="F1778" s="17">
        <v>6692.880000000001</v>
      </c>
      <c r="G1778" s="17">
        <v>6692.88</v>
      </c>
    </row>
    <row r="1779" spans="1:7" x14ac:dyDescent="0.3">
      <c r="A1779" t="s">
        <v>50</v>
      </c>
      <c r="B1779" t="s">
        <v>16</v>
      </c>
      <c r="C1779" t="s">
        <v>25</v>
      </c>
      <c r="D1779" t="s">
        <v>19</v>
      </c>
      <c r="E1779" s="17">
        <v>12512.06</v>
      </c>
      <c r="F1779" s="17">
        <v>4892.01</v>
      </c>
      <c r="G1779" s="17">
        <v>4892.01</v>
      </c>
    </row>
    <row r="1780" spans="1:7" x14ac:dyDescent="0.3">
      <c r="A1780" t="s">
        <v>50</v>
      </c>
      <c r="B1780" t="s">
        <v>16</v>
      </c>
      <c r="C1780" t="s">
        <v>25</v>
      </c>
      <c r="D1780" t="s">
        <v>20</v>
      </c>
      <c r="E1780" s="17">
        <v>18486.12</v>
      </c>
      <c r="F1780" s="17">
        <v>3865.389999999999</v>
      </c>
      <c r="G1780" s="17">
        <v>3865.39</v>
      </c>
    </row>
    <row r="1781" spans="1:7" x14ac:dyDescent="0.3">
      <c r="A1781" t="s">
        <v>50</v>
      </c>
      <c r="B1781" t="s">
        <v>16</v>
      </c>
      <c r="C1781" t="s">
        <v>25</v>
      </c>
      <c r="D1781" t="s">
        <v>21</v>
      </c>
      <c r="E1781" s="17">
        <v>11532.82</v>
      </c>
      <c r="F1781" s="17">
        <v>4961.29</v>
      </c>
      <c r="G1781" s="17">
        <v>4961.29</v>
      </c>
    </row>
    <row r="1782" spans="1:7" x14ac:dyDescent="0.3">
      <c r="A1782" t="s">
        <v>50</v>
      </c>
      <c r="B1782" t="s">
        <v>26</v>
      </c>
      <c r="C1782" t="s">
        <v>17</v>
      </c>
      <c r="D1782" t="s">
        <v>18</v>
      </c>
      <c r="E1782" s="17">
        <v>21261.72</v>
      </c>
      <c r="F1782" s="17">
        <v>7207.2799999999988</v>
      </c>
      <c r="G1782" s="17">
        <v>7207.28</v>
      </c>
    </row>
    <row r="1783" spans="1:7" x14ac:dyDescent="0.3">
      <c r="A1783" t="s">
        <v>50</v>
      </c>
      <c r="B1783" t="s">
        <v>26</v>
      </c>
      <c r="C1783" t="s">
        <v>17</v>
      </c>
      <c r="D1783" t="s">
        <v>19</v>
      </c>
      <c r="E1783" s="17">
        <v>19759.34</v>
      </c>
      <c r="F1783" s="17">
        <v>5960.130000000001</v>
      </c>
      <c r="G1783" s="17">
        <v>5960.13</v>
      </c>
    </row>
    <row r="1784" spans="1:7" x14ac:dyDescent="0.3">
      <c r="A1784" t="s">
        <v>50</v>
      </c>
      <c r="B1784" t="s">
        <v>26</v>
      </c>
      <c r="C1784" t="s">
        <v>17</v>
      </c>
      <c r="D1784" t="s">
        <v>20</v>
      </c>
      <c r="E1784" s="17">
        <v>17144.5</v>
      </c>
      <c r="F1784" s="17">
        <v>7512.23</v>
      </c>
      <c r="G1784" s="17">
        <v>7512.23</v>
      </c>
    </row>
    <row r="1785" spans="1:7" x14ac:dyDescent="0.3">
      <c r="A1785" t="s">
        <v>50</v>
      </c>
      <c r="B1785" t="s">
        <v>26</v>
      </c>
      <c r="C1785" t="s">
        <v>17</v>
      </c>
      <c r="D1785" t="s">
        <v>21</v>
      </c>
      <c r="E1785" s="17">
        <v>5096.63</v>
      </c>
      <c r="F1785" s="17">
        <v>1603.83</v>
      </c>
      <c r="G1785" s="17">
        <v>1603.83</v>
      </c>
    </row>
    <row r="1786" spans="1:7" x14ac:dyDescent="0.3">
      <c r="A1786" t="s">
        <v>50</v>
      </c>
      <c r="B1786" t="s">
        <v>26</v>
      </c>
      <c r="C1786" t="s">
        <v>22</v>
      </c>
      <c r="D1786" t="s">
        <v>18</v>
      </c>
      <c r="E1786" s="17">
        <v>14198.38</v>
      </c>
      <c r="F1786" s="17">
        <v>2741.91</v>
      </c>
      <c r="G1786" s="17">
        <v>2741.91</v>
      </c>
    </row>
    <row r="1787" spans="1:7" x14ac:dyDescent="0.3">
      <c r="A1787" t="s">
        <v>50</v>
      </c>
      <c r="B1787" t="s">
        <v>26</v>
      </c>
      <c r="C1787" t="s">
        <v>22</v>
      </c>
      <c r="D1787" t="s">
        <v>19</v>
      </c>
      <c r="E1787" s="17">
        <v>23512.09</v>
      </c>
      <c r="F1787" s="17">
        <v>9557.2000000000007</v>
      </c>
      <c r="G1787" s="17">
        <v>9557.2000000000007</v>
      </c>
    </row>
    <row r="1788" spans="1:7" x14ac:dyDescent="0.3">
      <c r="A1788" t="s">
        <v>50</v>
      </c>
      <c r="B1788" t="s">
        <v>26</v>
      </c>
      <c r="C1788" t="s">
        <v>22</v>
      </c>
      <c r="D1788" t="s">
        <v>20</v>
      </c>
      <c r="E1788" s="17">
        <v>13107.44</v>
      </c>
      <c r="F1788" s="17">
        <v>4158.33</v>
      </c>
      <c r="G1788" s="17">
        <v>4158.33</v>
      </c>
    </row>
    <row r="1789" spans="1:7" x14ac:dyDescent="0.3">
      <c r="A1789" t="s">
        <v>50</v>
      </c>
      <c r="B1789" t="s">
        <v>26</v>
      </c>
      <c r="C1789" t="s">
        <v>22</v>
      </c>
      <c r="D1789" t="s">
        <v>21</v>
      </c>
      <c r="E1789" s="17">
        <v>23186.73</v>
      </c>
      <c r="F1789" s="17">
        <v>5282.9700000000012</v>
      </c>
      <c r="G1789" s="17">
        <v>5282.97</v>
      </c>
    </row>
    <row r="1790" spans="1:7" x14ac:dyDescent="0.3">
      <c r="A1790" t="s">
        <v>50</v>
      </c>
      <c r="B1790" t="s">
        <v>26</v>
      </c>
      <c r="C1790" t="s">
        <v>23</v>
      </c>
      <c r="D1790" t="s">
        <v>18</v>
      </c>
      <c r="E1790" s="17">
        <v>15306.75</v>
      </c>
      <c r="F1790" s="17">
        <v>5774.2200000000012</v>
      </c>
      <c r="G1790" s="17">
        <v>5774.22</v>
      </c>
    </row>
    <row r="1791" spans="1:7" x14ac:dyDescent="0.3">
      <c r="A1791" t="s">
        <v>50</v>
      </c>
      <c r="B1791" t="s">
        <v>26</v>
      </c>
      <c r="C1791" t="s">
        <v>23</v>
      </c>
      <c r="D1791" t="s">
        <v>19</v>
      </c>
      <c r="E1791" s="17">
        <v>4952.78</v>
      </c>
      <c r="F1791" s="17">
        <v>1409.56</v>
      </c>
      <c r="G1791" s="17">
        <v>1409.56</v>
      </c>
    </row>
    <row r="1792" spans="1:7" x14ac:dyDescent="0.3">
      <c r="A1792" t="s">
        <v>50</v>
      </c>
      <c r="B1792" t="s">
        <v>26</v>
      </c>
      <c r="C1792" t="s">
        <v>23</v>
      </c>
      <c r="D1792" t="s">
        <v>20</v>
      </c>
      <c r="E1792" s="17">
        <v>15812.56</v>
      </c>
      <c r="F1792" s="17">
        <v>6614.83</v>
      </c>
      <c r="G1792" s="17">
        <v>6614.83</v>
      </c>
    </row>
    <row r="1793" spans="1:7" x14ac:dyDescent="0.3">
      <c r="A1793" t="s">
        <v>50</v>
      </c>
      <c r="B1793" t="s">
        <v>26</v>
      </c>
      <c r="C1793" t="s">
        <v>23</v>
      </c>
      <c r="D1793" t="s">
        <v>21</v>
      </c>
      <c r="E1793" s="17">
        <v>13594.53</v>
      </c>
      <c r="F1793" s="17">
        <v>3858.93</v>
      </c>
      <c r="G1793" s="17">
        <v>3858.93</v>
      </c>
    </row>
    <row r="1794" spans="1:7" x14ac:dyDescent="0.3">
      <c r="A1794" t="s">
        <v>50</v>
      </c>
      <c r="B1794" t="s">
        <v>26</v>
      </c>
      <c r="C1794" t="s">
        <v>24</v>
      </c>
      <c r="D1794" t="s">
        <v>18</v>
      </c>
      <c r="E1794" s="17">
        <v>24528.52</v>
      </c>
      <c r="F1794" s="17">
        <v>10480.93</v>
      </c>
      <c r="G1794" s="17">
        <v>10480.93</v>
      </c>
    </row>
    <row r="1795" spans="1:7" x14ac:dyDescent="0.3">
      <c r="A1795" t="s">
        <v>50</v>
      </c>
      <c r="B1795" t="s">
        <v>26</v>
      </c>
      <c r="C1795" t="s">
        <v>24</v>
      </c>
      <c r="D1795" t="s">
        <v>19</v>
      </c>
      <c r="E1795" s="17">
        <v>19534.62</v>
      </c>
      <c r="F1795" s="17">
        <v>4959.2700000000004</v>
      </c>
      <c r="G1795" s="17">
        <v>4959.2700000000004</v>
      </c>
    </row>
    <row r="1796" spans="1:7" x14ac:dyDescent="0.3">
      <c r="A1796" t="s">
        <v>50</v>
      </c>
      <c r="B1796" t="s">
        <v>26</v>
      </c>
      <c r="C1796" t="s">
        <v>24</v>
      </c>
      <c r="D1796" t="s">
        <v>20</v>
      </c>
      <c r="E1796" s="17">
        <v>24162.65</v>
      </c>
      <c r="F1796" s="17">
        <v>10680.68</v>
      </c>
      <c r="G1796" s="17">
        <v>10680.68</v>
      </c>
    </row>
    <row r="1797" spans="1:7" x14ac:dyDescent="0.3">
      <c r="A1797" t="s">
        <v>50</v>
      </c>
      <c r="B1797" t="s">
        <v>26</v>
      </c>
      <c r="C1797" t="s">
        <v>24</v>
      </c>
      <c r="D1797" t="s">
        <v>21</v>
      </c>
      <c r="E1797" s="17">
        <v>12415.45</v>
      </c>
      <c r="F1797" s="17">
        <v>2681.869999999999</v>
      </c>
      <c r="G1797" s="17">
        <v>2681.87</v>
      </c>
    </row>
    <row r="1798" spans="1:7" x14ac:dyDescent="0.3">
      <c r="A1798" t="s">
        <v>50</v>
      </c>
      <c r="B1798" t="s">
        <v>26</v>
      </c>
      <c r="C1798" t="s">
        <v>25</v>
      </c>
      <c r="D1798" t="s">
        <v>18</v>
      </c>
      <c r="E1798" s="17">
        <v>11493.15</v>
      </c>
      <c r="F1798" s="17">
        <v>4241.0200000000004</v>
      </c>
      <c r="G1798" s="17">
        <v>4241.0200000000004</v>
      </c>
    </row>
    <row r="1799" spans="1:7" x14ac:dyDescent="0.3">
      <c r="A1799" t="s">
        <v>50</v>
      </c>
      <c r="B1799" t="s">
        <v>26</v>
      </c>
      <c r="C1799" t="s">
        <v>25</v>
      </c>
      <c r="D1799" t="s">
        <v>19</v>
      </c>
      <c r="E1799" s="17">
        <v>19213.82</v>
      </c>
      <c r="F1799" s="17">
        <v>5009.17</v>
      </c>
      <c r="G1799" s="17">
        <v>5009.17</v>
      </c>
    </row>
    <row r="1800" spans="1:7" x14ac:dyDescent="0.3">
      <c r="A1800" t="s">
        <v>50</v>
      </c>
      <c r="B1800" t="s">
        <v>26</v>
      </c>
      <c r="C1800" t="s">
        <v>25</v>
      </c>
      <c r="D1800" t="s">
        <v>20</v>
      </c>
      <c r="E1800" s="17">
        <v>18134.37</v>
      </c>
      <c r="F1800" s="17">
        <v>7478.4500000000007</v>
      </c>
      <c r="G1800" s="17">
        <v>7478.45</v>
      </c>
    </row>
    <row r="1801" spans="1:7" x14ac:dyDescent="0.3">
      <c r="A1801" t="s">
        <v>50</v>
      </c>
      <c r="B1801" t="s">
        <v>26</v>
      </c>
      <c r="C1801" t="s">
        <v>25</v>
      </c>
      <c r="D1801" t="s">
        <v>21</v>
      </c>
      <c r="E1801" s="17">
        <v>18373.11</v>
      </c>
      <c r="F1801" s="17">
        <v>7947.99</v>
      </c>
      <c r="G1801" s="17">
        <v>7947.99</v>
      </c>
    </row>
    <row r="1802" spans="1:7" x14ac:dyDescent="0.3">
      <c r="A1802" t="s">
        <v>50</v>
      </c>
      <c r="B1802" t="s">
        <v>27</v>
      </c>
      <c r="C1802" t="s">
        <v>17</v>
      </c>
      <c r="D1802" t="s">
        <v>18</v>
      </c>
      <c r="E1802" s="17">
        <v>16549.419999999998</v>
      </c>
      <c r="F1802" s="17">
        <v>3876.5400000000009</v>
      </c>
      <c r="G1802" s="17">
        <v>3876.54</v>
      </c>
    </row>
    <row r="1803" spans="1:7" x14ac:dyDescent="0.3">
      <c r="A1803" t="s">
        <v>50</v>
      </c>
      <c r="B1803" t="s">
        <v>27</v>
      </c>
      <c r="C1803" t="s">
        <v>17</v>
      </c>
      <c r="D1803" t="s">
        <v>19</v>
      </c>
      <c r="E1803" s="17">
        <v>16355.85</v>
      </c>
      <c r="F1803" s="17">
        <v>4227.2800000000007</v>
      </c>
      <c r="G1803" s="17">
        <v>4227.28</v>
      </c>
    </row>
    <row r="1804" spans="1:7" x14ac:dyDescent="0.3">
      <c r="A1804" t="s">
        <v>50</v>
      </c>
      <c r="B1804" t="s">
        <v>27</v>
      </c>
      <c r="C1804" t="s">
        <v>17</v>
      </c>
      <c r="D1804" t="s">
        <v>20</v>
      </c>
      <c r="E1804" s="17">
        <v>9941.75</v>
      </c>
      <c r="F1804" s="17">
        <v>3594.35</v>
      </c>
      <c r="G1804" s="17">
        <v>3594.35</v>
      </c>
    </row>
    <row r="1805" spans="1:7" x14ac:dyDescent="0.3">
      <c r="A1805" t="s">
        <v>50</v>
      </c>
      <c r="B1805" t="s">
        <v>27</v>
      </c>
      <c r="C1805" t="s">
        <v>17</v>
      </c>
      <c r="D1805" t="s">
        <v>21</v>
      </c>
      <c r="E1805" s="17">
        <v>24570.720000000001</v>
      </c>
      <c r="F1805" s="17">
        <v>8735.4599999999991</v>
      </c>
      <c r="G1805" s="17">
        <v>8735.4599999999991</v>
      </c>
    </row>
    <row r="1806" spans="1:7" x14ac:dyDescent="0.3">
      <c r="A1806" t="s">
        <v>50</v>
      </c>
      <c r="B1806" t="s">
        <v>27</v>
      </c>
      <c r="C1806" t="s">
        <v>22</v>
      </c>
      <c r="D1806" t="s">
        <v>18</v>
      </c>
      <c r="E1806" s="17">
        <v>24041.51</v>
      </c>
      <c r="F1806" s="17">
        <v>7598.3500000000022</v>
      </c>
      <c r="G1806" s="17">
        <v>7598.35</v>
      </c>
    </row>
    <row r="1807" spans="1:7" x14ac:dyDescent="0.3">
      <c r="A1807" t="s">
        <v>50</v>
      </c>
      <c r="B1807" t="s">
        <v>27</v>
      </c>
      <c r="C1807" t="s">
        <v>22</v>
      </c>
      <c r="D1807" t="s">
        <v>19</v>
      </c>
      <c r="E1807" s="17">
        <v>17969.18</v>
      </c>
      <c r="F1807" s="17">
        <v>4798.5400000000009</v>
      </c>
      <c r="G1807" s="17">
        <v>4798.54</v>
      </c>
    </row>
    <row r="1808" spans="1:7" x14ac:dyDescent="0.3">
      <c r="A1808" t="s">
        <v>50</v>
      </c>
      <c r="B1808" t="s">
        <v>27</v>
      </c>
      <c r="C1808" t="s">
        <v>22</v>
      </c>
      <c r="D1808" t="s">
        <v>20</v>
      </c>
      <c r="E1808" s="17">
        <v>4654.32</v>
      </c>
      <c r="F1808" s="17">
        <v>1280.42</v>
      </c>
      <c r="G1808" s="17">
        <v>1280.42</v>
      </c>
    </row>
    <row r="1809" spans="1:7" x14ac:dyDescent="0.3">
      <c r="A1809" t="s">
        <v>50</v>
      </c>
      <c r="B1809" t="s">
        <v>27</v>
      </c>
      <c r="C1809" t="s">
        <v>22</v>
      </c>
      <c r="D1809" t="s">
        <v>21</v>
      </c>
      <c r="E1809" s="17">
        <v>13048.51</v>
      </c>
      <c r="F1809" s="17">
        <v>4359.1499999999996</v>
      </c>
      <c r="G1809" s="17">
        <v>4359.1499999999996</v>
      </c>
    </row>
    <row r="1810" spans="1:7" x14ac:dyDescent="0.3">
      <c r="A1810" t="s">
        <v>50</v>
      </c>
      <c r="B1810" t="s">
        <v>27</v>
      </c>
      <c r="C1810" t="s">
        <v>23</v>
      </c>
      <c r="D1810" t="s">
        <v>18</v>
      </c>
      <c r="E1810" s="17">
        <v>17344.62</v>
      </c>
      <c r="F1810" s="17">
        <v>5077.1000000000004</v>
      </c>
      <c r="G1810" s="17">
        <v>5077.1000000000004</v>
      </c>
    </row>
    <row r="1811" spans="1:7" x14ac:dyDescent="0.3">
      <c r="A1811" t="s">
        <v>50</v>
      </c>
      <c r="B1811" t="s">
        <v>27</v>
      </c>
      <c r="C1811" t="s">
        <v>23</v>
      </c>
      <c r="D1811" t="s">
        <v>19</v>
      </c>
      <c r="E1811" s="17">
        <v>19200.98</v>
      </c>
      <c r="F1811" s="17">
        <v>7818.16</v>
      </c>
      <c r="G1811" s="17">
        <v>7818.16</v>
      </c>
    </row>
    <row r="1812" spans="1:7" x14ac:dyDescent="0.3">
      <c r="A1812" t="s">
        <v>50</v>
      </c>
      <c r="B1812" t="s">
        <v>27</v>
      </c>
      <c r="C1812" t="s">
        <v>23</v>
      </c>
      <c r="D1812" t="s">
        <v>20</v>
      </c>
      <c r="E1812" s="17">
        <v>8576.34</v>
      </c>
      <c r="F1812" s="17">
        <v>3505.76</v>
      </c>
      <c r="G1812" s="17">
        <v>3505.76</v>
      </c>
    </row>
    <row r="1813" spans="1:7" x14ac:dyDescent="0.3">
      <c r="A1813" t="s">
        <v>50</v>
      </c>
      <c r="B1813" t="s">
        <v>27</v>
      </c>
      <c r="C1813" t="s">
        <v>23</v>
      </c>
      <c r="D1813" t="s">
        <v>21</v>
      </c>
      <c r="E1813" s="17">
        <v>20591.009999999998</v>
      </c>
      <c r="F1813" s="17">
        <v>6612.5400000000009</v>
      </c>
      <c r="G1813" s="17">
        <v>6612.54</v>
      </c>
    </row>
    <row r="1814" spans="1:7" x14ac:dyDescent="0.3">
      <c r="A1814" t="s">
        <v>50</v>
      </c>
      <c r="B1814" t="s">
        <v>27</v>
      </c>
      <c r="C1814" t="s">
        <v>24</v>
      </c>
      <c r="D1814" t="s">
        <v>18</v>
      </c>
      <c r="E1814" s="17">
        <v>2581.2600000000002</v>
      </c>
      <c r="F1814" s="17">
        <v>565.90999999999985</v>
      </c>
      <c r="G1814" s="17">
        <v>565.91</v>
      </c>
    </row>
    <row r="1815" spans="1:7" x14ac:dyDescent="0.3">
      <c r="A1815" t="s">
        <v>50</v>
      </c>
      <c r="B1815" t="s">
        <v>27</v>
      </c>
      <c r="C1815" t="s">
        <v>24</v>
      </c>
      <c r="D1815" t="s">
        <v>19</v>
      </c>
      <c r="E1815" s="17">
        <v>17415.849999999999</v>
      </c>
      <c r="F1815" s="17">
        <v>4074.85</v>
      </c>
      <c r="G1815" s="17">
        <v>4074.85</v>
      </c>
    </row>
    <row r="1816" spans="1:7" x14ac:dyDescent="0.3">
      <c r="A1816" t="s">
        <v>50</v>
      </c>
      <c r="B1816" t="s">
        <v>27</v>
      </c>
      <c r="C1816" t="s">
        <v>24</v>
      </c>
      <c r="D1816" t="s">
        <v>20</v>
      </c>
      <c r="E1816" s="17">
        <v>19254.259999999998</v>
      </c>
      <c r="F1816" s="17">
        <v>4302.41</v>
      </c>
      <c r="G1816" s="17">
        <v>4302.41</v>
      </c>
    </row>
    <row r="1817" spans="1:7" x14ac:dyDescent="0.3">
      <c r="A1817" t="s">
        <v>50</v>
      </c>
      <c r="B1817" t="s">
        <v>27</v>
      </c>
      <c r="C1817" t="s">
        <v>24</v>
      </c>
      <c r="D1817" t="s">
        <v>21</v>
      </c>
      <c r="E1817" s="17">
        <v>8592.16</v>
      </c>
      <c r="F1817" s="17">
        <v>2127.860000000001</v>
      </c>
      <c r="G1817" s="17">
        <v>2127.86</v>
      </c>
    </row>
    <row r="1818" spans="1:7" x14ac:dyDescent="0.3">
      <c r="A1818" t="s">
        <v>50</v>
      </c>
      <c r="B1818" t="s">
        <v>27</v>
      </c>
      <c r="C1818" t="s">
        <v>25</v>
      </c>
      <c r="D1818" t="s">
        <v>18</v>
      </c>
      <c r="E1818" s="17">
        <v>21305.78</v>
      </c>
      <c r="F1818" s="17">
        <v>7807.73</v>
      </c>
      <c r="G1818" s="17">
        <v>7807.73</v>
      </c>
    </row>
    <row r="1819" spans="1:7" x14ac:dyDescent="0.3">
      <c r="A1819" t="s">
        <v>50</v>
      </c>
      <c r="B1819" t="s">
        <v>27</v>
      </c>
      <c r="C1819" t="s">
        <v>25</v>
      </c>
      <c r="D1819" t="s">
        <v>19</v>
      </c>
      <c r="E1819" s="17">
        <v>8788.23</v>
      </c>
      <c r="F1819" s="17">
        <v>3370.0300000000011</v>
      </c>
      <c r="G1819" s="17">
        <v>3370.03</v>
      </c>
    </row>
    <row r="1820" spans="1:7" x14ac:dyDescent="0.3">
      <c r="A1820" t="s">
        <v>50</v>
      </c>
      <c r="B1820" t="s">
        <v>27</v>
      </c>
      <c r="C1820" t="s">
        <v>25</v>
      </c>
      <c r="D1820" t="s">
        <v>20</v>
      </c>
      <c r="E1820" s="17">
        <v>2743.05</v>
      </c>
      <c r="F1820" s="17">
        <v>1096.6400000000001</v>
      </c>
      <c r="G1820" s="17">
        <v>1096.6400000000001</v>
      </c>
    </row>
    <row r="1821" spans="1:7" x14ac:dyDescent="0.3">
      <c r="A1821" t="s">
        <v>50</v>
      </c>
      <c r="B1821" t="s">
        <v>27</v>
      </c>
      <c r="C1821" t="s">
        <v>25</v>
      </c>
      <c r="D1821" t="s">
        <v>21</v>
      </c>
      <c r="E1821" s="17">
        <v>4357.04</v>
      </c>
      <c r="F1821" s="17">
        <v>1805.42</v>
      </c>
      <c r="G1821" s="17">
        <v>1805.42</v>
      </c>
    </row>
    <row r="1822" spans="1:7" x14ac:dyDescent="0.3">
      <c r="A1822" t="s">
        <v>50</v>
      </c>
      <c r="B1822" t="s">
        <v>28</v>
      </c>
      <c r="C1822" t="s">
        <v>17</v>
      </c>
      <c r="D1822" t="s">
        <v>18</v>
      </c>
      <c r="E1822" s="17">
        <v>19008.330000000002</v>
      </c>
      <c r="F1822" s="17">
        <v>7860.08</v>
      </c>
      <c r="G1822" s="17">
        <v>7860.08</v>
      </c>
    </row>
    <row r="1823" spans="1:7" x14ac:dyDescent="0.3">
      <c r="A1823" t="s">
        <v>50</v>
      </c>
      <c r="B1823" t="s">
        <v>28</v>
      </c>
      <c r="C1823" t="s">
        <v>17</v>
      </c>
      <c r="D1823" t="s">
        <v>19</v>
      </c>
      <c r="E1823" s="17">
        <v>19075.490000000002</v>
      </c>
      <c r="F1823" s="17">
        <v>6324.35</v>
      </c>
      <c r="G1823" s="17">
        <v>6324.35</v>
      </c>
    </row>
    <row r="1824" spans="1:7" x14ac:dyDescent="0.3">
      <c r="A1824" t="s">
        <v>50</v>
      </c>
      <c r="B1824" t="s">
        <v>28</v>
      </c>
      <c r="C1824" t="s">
        <v>17</v>
      </c>
      <c r="D1824" t="s">
        <v>20</v>
      </c>
      <c r="E1824" s="17">
        <v>7464.7</v>
      </c>
      <c r="F1824" s="17">
        <v>2924.39</v>
      </c>
      <c r="G1824" s="17">
        <v>2924.39</v>
      </c>
    </row>
    <row r="1825" spans="1:7" x14ac:dyDescent="0.3">
      <c r="A1825" t="s">
        <v>50</v>
      </c>
      <c r="B1825" t="s">
        <v>28</v>
      </c>
      <c r="C1825" t="s">
        <v>17</v>
      </c>
      <c r="D1825" t="s">
        <v>21</v>
      </c>
      <c r="E1825" s="17">
        <v>20372.900000000001</v>
      </c>
      <c r="F1825" s="17">
        <v>5249.33</v>
      </c>
      <c r="G1825" s="17">
        <v>5249.33</v>
      </c>
    </row>
    <row r="1826" spans="1:7" x14ac:dyDescent="0.3">
      <c r="A1826" t="s">
        <v>50</v>
      </c>
      <c r="B1826" t="s">
        <v>28</v>
      </c>
      <c r="C1826" t="s">
        <v>22</v>
      </c>
      <c r="D1826" t="s">
        <v>18</v>
      </c>
      <c r="E1826" s="17">
        <v>17283.349999999999</v>
      </c>
      <c r="F1826" s="17">
        <v>7434.4500000000007</v>
      </c>
      <c r="G1826" s="17">
        <v>7434.45</v>
      </c>
    </row>
    <row r="1827" spans="1:7" x14ac:dyDescent="0.3">
      <c r="A1827" t="s">
        <v>50</v>
      </c>
      <c r="B1827" t="s">
        <v>28</v>
      </c>
      <c r="C1827" t="s">
        <v>22</v>
      </c>
      <c r="D1827" t="s">
        <v>19</v>
      </c>
      <c r="E1827" s="17">
        <v>10913.76</v>
      </c>
      <c r="F1827" s="17">
        <v>4783.6099999999997</v>
      </c>
      <c r="G1827" s="17">
        <v>4783.6099999999997</v>
      </c>
    </row>
    <row r="1828" spans="1:7" x14ac:dyDescent="0.3">
      <c r="A1828" t="s">
        <v>50</v>
      </c>
      <c r="B1828" t="s">
        <v>28</v>
      </c>
      <c r="C1828" t="s">
        <v>22</v>
      </c>
      <c r="D1828" t="s">
        <v>20</v>
      </c>
      <c r="E1828" s="17">
        <v>24443.919999999998</v>
      </c>
      <c r="F1828" s="17">
        <v>6463.380000000001</v>
      </c>
      <c r="G1828" s="17">
        <v>6463.38</v>
      </c>
    </row>
    <row r="1829" spans="1:7" x14ac:dyDescent="0.3">
      <c r="A1829" t="s">
        <v>50</v>
      </c>
      <c r="B1829" t="s">
        <v>28</v>
      </c>
      <c r="C1829" t="s">
        <v>22</v>
      </c>
      <c r="D1829" t="s">
        <v>21</v>
      </c>
      <c r="E1829" s="17">
        <v>14698.87</v>
      </c>
      <c r="F1829" s="17">
        <v>2697.25</v>
      </c>
      <c r="G1829" s="17">
        <v>2697.25</v>
      </c>
    </row>
    <row r="1830" spans="1:7" x14ac:dyDescent="0.3">
      <c r="A1830" t="s">
        <v>50</v>
      </c>
      <c r="B1830" t="s">
        <v>28</v>
      </c>
      <c r="C1830" t="s">
        <v>23</v>
      </c>
      <c r="D1830" t="s">
        <v>18</v>
      </c>
      <c r="E1830" s="17">
        <v>7780.85</v>
      </c>
      <c r="F1830" s="17">
        <v>2704.25</v>
      </c>
      <c r="G1830" s="17">
        <v>2704.25</v>
      </c>
    </row>
    <row r="1831" spans="1:7" x14ac:dyDescent="0.3">
      <c r="A1831" t="s">
        <v>50</v>
      </c>
      <c r="B1831" t="s">
        <v>28</v>
      </c>
      <c r="C1831" t="s">
        <v>23</v>
      </c>
      <c r="D1831" t="s">
        <v>19</v>
      </c>
      <c r="E1831" s="17">
        <v>19961.27</v>
      </c>
      <c r="F1831" s="17">
        <v>8282.57</v>
      </c>
      <c r="G1831" s="17">
        <v>8282.57</v>
      </c>
    </row>
    <row r="1832" spans="1:7" x14ac:dyDescent="0.3">
      <c r="A1832" t="s">
        <v>50</v>
      </c>
      <c r="B1832" t="s">
        <v>28</v>
      </c>
      <c r="C1832" t="s">
        <v>23</v>
      </c>
      <c r="D1832" t="s">
        <v>20</v>
      </c>
      <c r="E1832" s="17">
        <v>21089.62</v>
      </c>
      <c r="F1832" s="17">
        <v>8986.31</v>
      </c>
      <c r="G1832" s="17">
        <v>8986.31</v>
      </c>
    </row>
    <row r="1833" spans="1:7" x14ac:dyDescent="0.3">
      <c r="A1833" t="s">
        <v>50</v>
      </c>
      <c r="B1833" t="s">
        <v>28</v>
      </c>
      <c r="C1833" t="s">
        <v>23</v>
      </c>
      <c r="D1833" t="s">
        <v>21</v>
      </c>
      <c r="E1833" s="17">
        <v>18206.47</v>
      </c>
      <c r="F1833" s="17">
        <v>6460.76</v>
      </c>
      <c r="G1833" s="17">
        <v>6460.76</v>
      </c>
    </row>
    <row r="1834" spans="1:7" x14ac:dyDescent="0.3">
      <c r="A1834" t="s">
        <v>50</v>
      </c>
      <c r="B1834" t="s">
        <v>28</v>
      </c>
      <c r="C1834" t="s">
        <v>24</v>
      </c>
      <c r="D1834" t="s">
        <v>18</v>
      </c>
      <c r="E1834" s="17">
        <v>19367.48</v>
      </c>
      <c r="F1834" s="17">
        <v>6344.52</v>
      </c>
      <c r="G1834" s="17">
        <v>6344.52</v>
      </c>
    </row>
    <row r="1835" spans="1:7" x14ac:dyDescent="0.3">
      <c r="A1835" t="s">
        <v>50</v>
      </c>
      <c r="B1835" t="s">
        <v>28</v>
      </c>
      <c r="C1835" t="s">
        <v>24</v>
      </c>
      <c r="D1835" t="s">
        <v>19</v>
      </c>
      <c r="E1835" s="17">
        <v>15877.9</v>
      </c>
      <c r="F1835" s="17">
        <v>6185.3900000000012</v>
      </c>
      <c r="G1835" s="17">
        <v>6185.39</v>
      </c>
    </row>
    <row r="1836" spans="1:7" x14ac:dyDescent="0.3">
      <c r="A1836" t="s">
        <v>50</v>
      </c>
      <c r="B1836" t="s">
        <v>28</v>
      </c>
      <c r="C1836" t="s">
        <v>24</v>
      </c>
      <c r="D1836" t="s">
        <v>20</v>
      </c>
      <c r="E1836" s="17">
        <v>24178.67</v>
      </c>
      <c r="F1836" s="17">
        <v>6272.619999999999</v>
      </c>
      <c r="G1836" s="17">
        <v>6272.62</v>
      </c>
    </row>
    <row r="1837" spans="1:7" x14ac:dyDescent="0.3">
      <c r="A1837" t="s">
        <v>50</v>
      </c>
      <c r="B1837" t="s">
        <v>28</v>
      </c>
      <c r="C1837" t="s">
        <v>24</v>
      </c>
      <c r="D1837" t="s">
        <v>21</v>
      </c>
      <c r="E1837" s="17">
        <v>6080.8</v>
      </c>
      <c r="F1837" s="17">
        <v>2215.34</v>
      </c>
      <c r="G1837" s="17">
        <v>2215.34</v>
      </c>
    </row>
    <row r="1838" spans="1:7" x14ac:dyDescent="0.3">
      <c r="A1838" t="s">
        <v>50</v>
      </c>
      <c r="B1838" t="s">
        <v>28</v>
      </c>
      <c r="C1838" t="s">
        <v>25</v>
      </c>
      <c r="D1838" t="s">
        <v>18</v>
      </c>
      <c r="E1838" s="17">
        <v>6300.46</v>
      </c>
      <c r="F1838" s="17">
        <v>1429.73</v>
      </c>
      <c r="G1838" s="17">
        <v>1429.73</v>
      </c>
    </row>
    <row r="1839" spans="1:7" x14ac:dyDescent="0.3">
      <c r="A1839" t="s">
        <v>50</v>
      </c>
      <c r="B1839" t="s">
        <v>28</v>
      </c>
      <c r="C1839" t="s">
        <v>25</v>
      </c>
      <c r="D1839" t="s">
        <v>19</v>
      </c>
      <c r="E1839" s="17">
        <v>13818.48</v>
      </c>
      <c r="F1839" s="17">
        <v>3894.65</v>
      </c>
      <c r="G1839" s="17">
        <v>3894.65</v>
      </c>
    </row>
    <row r="1840" spans="1:7" x14ac:dyDescent="0.3">
      <c r="A1840" t="s">
        <v>50</v>
      </c>
      <c r="B1840" t="s">
        <v>28</v>
      </c>
      <c r="C1840" t="s">
        <v>25</v>
      </c>
      <c r="D1840" t="s">
        <v>20</v>
      </c>
      <c r="E1840" s="17">
        <v>11855.68</v>
      </c>
      <c r="F1840" s="17">
        <v>3915.71</v>
      </c>
      <c r="G1840" s="17">
        <v>3915.71</v>
      </c>
    </row>
    <row r="1841" spans="1:7" x14ac:dyDescent="0.3">
      <c r="A1841" t="s">
        <v>50</v>
      </c>
      <c r="B1841" t="s">
        <v>28</v>
      </c>
      <c r="C1841" t="s">
        <v>25</v>
      </c>
      <c r="D1841" t="s">
        <v>21</v>
      </c>
      <c r="E1841" s="17">
        <v>4991.53</v>
      </c>
      <c r="F1841" s="17">
        <v>1685.52</v>
      </c>
      <c r="G1841" s="17">
        <v>1685.52</v>
      </c>
    </row>
    <row r="1842" spans="1:7" x14ac:dyDescent="0.3">
      <c r="A1842" t="s">
        <v>51</v>
      </c>
      <c r="B1842" t="s">
        <v>16</v>
      </c>
      <c r="C1842" t="s">
        <v>17</v>
      </c>
      <c r="D1842" t="s">
        <v>18</v>
      </c>
      <c r="E1842" s="17">
        <v>7865.37</v>
      </c>
      <c r="F1842" s="17">
        <v>2117.77</v>
      </c>
      <c r="G1842" s="17">
        <v>2117.77</v>
      </c>
    </row>
    <row r="1843" spans="1:7" x14ac:dyDescent="0.3">
      <c r="A1843" t="s">
        <v>51</v>
      </c>
      <c r="B1843" t="s">
        <v>16</v>
      </c>
      <c r="C1843" t="s">
        <v>17</v>
      </c>
      <c r="D1843" t="s">
        <v>19</v>
      </c>
      <c r="E1843" s="17">
        <v>18322.849999999999</v>
      </c>
      <c r="F1843" s="17">
        <v>4063.9599999999991</v>
      </c>
      <c r="G1843" s="17">
        <v>4063.96</v>
      </c>
    </row>
    <row r="1844" spans="1:7" x14ac:dyDescent="0.3">
      <c r="A1844" t="s">
        <v>51</v>
      </c>
      <c r="B1844" t="s">
        <v>16</v>
      </c>
      <c r="C1844" t="s">
        <v>17</v>
      </c>
      <c r="D1844" t="s">
        <v>20</v>
      </c>
      <c r="E1844" s="17">
        <v>5535.18</v>
      </c>
      <c r="F1844" s="17">
        <v>1478.5</v>
      </c>
      <c r="G1844" s="17">
        <v>1478.5</v>
      </c>
    </row>
    <row r="1845" spans="1:7" x14ac:dyDescent="0.3">
      <c r="A1845" t="s">
        <v>51</v>
      </c>
      <c r="B1845" t="s">
        <v>16</v>
      </c>
      <c r="C1845" t="s">
        <v>17</v>
      </c>
      <c r="D1845" t="s">
        <v>21</v>
      </c>
      <c r="E1845" s="17">
        <v>3169.68</v>
      </c>
      <c r="F1845" s="17">
        <v>1368.49</v>
      </c>
      <c r="G1845" s="17">
        <v>1368.49</v>
      </c>
    </row>
    <row r="1846" spans="1:7" x14ac:dyDescent="0.3">
      <c r="A1846" t="s">
        <v>51</v>
      </c>
      <c r="B1846" t="s">
        <v>16</v>
      </c>
      <c r="C1846" t="s">
        <v>22</v>
      </c>
      <c r="D1846" t="s">
        <v>18</v>
      </c>
      <c r="E1846" s="17">
        <v>16159</v>
      </c>
      <c r="F1846" s="17">
        <v>5796.4</v>
      </c>
      <c r="G1846" s="17">
        <v>5796.4</v>
      </c>
    </row>
    <row r="1847" spans="1:7" x14ac:dyDescent="0.3">
      <c r="A1847" t="s">
        <v>51</v>
      </c>
      <c r="B1847" t="s">
        <v>16</v>
      </c>
      <c r="C1847" t="s">
        <v>22</v>
      </c>
      <c r="D1847" t="s">
        <v>19</v>
      </c>
      <c r="E1847" s="17">
        <v>13282.67</v>
      </c>
      <c r="F1847" s="17">
        <v>4444.68</v>
      </c>
      <c r="G1847" s="17">
        <v>4444.68</v>
      </c>
    </row>
    <row r="1848" spans="1:7" x14ac:dyDescent="0.3">
      <c r="A1848" t="s">
        <v>51</v>
      </c>
      <c r="B1848" t="s">
        <v>16</v>
      </c>
      <c r="C1848" t="s">
        <v>22</v>
      </c>
      <c r="D1848" t="s">
        <v>20</v>
      </c>
      <c r="E1848" s="17">
        <v>10235.969999999999</v>
      </c>
      <c r="F1848" s="17">
        <v>4009.309999999999</v>
      </c>
      <c r="G1848" s="17">
        <v>4009.31</v>
      </c>
    </row>
    <row r="1849" spans="1:7" x14ac:dyDescent="0.3">
      <c r="A1849" t="s">
        <v>51</v>
      </c>
      <c r="B1849" t="s">
        <v>16</v>
      </c>
      <c r="C1849" t="s">
        <v>22</v>
      </c>
      <c r="D1849" t="s">
        <v>21</v>
      </c>
      <c r="E1849" s="17">
        <v>9310.76</v>
      </c>
      <c r="F1849" s="17">
        <v>2228.9</v>
      </c>
      <c r="G1849" s="17">
        <v>2228.9</v>
      </c>
    </row>
    <row r="1850" spans="1:7" x14ac:dyDescent="0.3">
      <c r="A1850" t="s">
        <v>51</v>
      </c>
      <c r="B1850" t="s">
        <v>16</v>
      </c>
      <c r="C1850" t="s">
        <v>23</v>
      </c>
      <c r="D1850" t="s">
        <v>18</v>
      </c>
      <c r="E1850" s="17">
        <v>6228.99</v>
      </c>
      <c r="F1850" s="17">
        <v>1235.8800000000001</v>
      </c>
      <c r="G1850" s="17">
        <v>1235.8800000000001</v>
      </c>
    </row>
    <row r="1851" spans="1:7" x14ac:dyDescent="0.3">
      <c r="A1851" t="s">
        <v>51</v>
      </c>
      <c r="B1851" t="s">
        <v>16</v>
      </c>
      <c r="C1851" t="s">
        <v>23</v>
      </c>
      <c r="D1851" t="s">
        <v>19</v>
      </c>
      <c r="E1851" s="17">
        <v>13618.23</v>
      </c>
      <c r="F1851" s="17">
        <v>3980.630000000001</v>
      </c>
      <c r="G1851" s="17">
        <v>3980.63</v>
      </c>
    </row>
    <row r="1852" spans="1:7" x14ac:dyDescent="0.3">
      <c r="A1852" t="s">
        <v>51</v>
      </c>
      <c r="B1852" t="s">
        <v>16</v>
      </c>
      <c r="C1852" t="s">
        <v>23</v>
      </c>
      <c r="D1852" t="s">
        <v>20</v>
      </c>
      <c r="E1852" s="17">
        <v>14351.83</v>
      </c>
      <c r="F1852" s="17">
        <v>2939.6200000000008</v>
      </c>
      <c r="G1852" s="17">
        <v>2939.62</v>
      </c>
    </row>
    <row r="1853" spans="1:7" x14ac:dyDescent="0.3">
      <c r="A1853" t="s">
        <v>51</v>
      </c>
      <c r="B1853" t="s">
        <v>16</v>
      </c>
      <c r="C1853" t="s">
        <v>23</v>
      </c>
      <c r="D1853" t="s">
        <v>21</v>
      </c>
      <c r="E1853" s="17">
        <v>7087.56</v>
      </c>
      <c r="F1853" s="17">
        <v>1684.04</v>
      </c>
      <c r="G1853" s="17">
        <v>1684.04</v>
      </c>
    </row>
    <row r="1854" spans="1:7" x14ac:dyDescent="0.3">
      <c r="A1854" t="s">
        <v>51</v>
      </c>
      <c r="B1854" t="s">
        <v>16</v>
      </c>
      <c r="C1854" t="s">
        <v>24</v>
      </c>
      <c r="D1854" t="s">
        <v>18</v>
      </c>
      <c r="E1854" s="17">
        <v>9633.32</v>
      </c>
      <c r="F1854" s="17">
        <v>2672.43</v>
      </c>
      <c r="G1854" s="17">
        <v>2672.43</v>
      </c>
    </row>
    <row r="1855" spans="1:7" x14ac:dyDescent="0.3">
      <c r="A1855" t="s">
        <v>51</v>
      </c>
      <c r="B1855" t="s">
        <v>16</v>
      </c>
      <c r="C1855" t="s">
        <v>24</v>
      </c>
      <c r="D1855" t="s">
        <v>19</v>
      </c>
      <c r="E1855" s="17">
        <v>7024.24</v>
      </c>
      <c r="F1855" s="17">
        <v>2691.809999999999</v>
      </c>
      <c r="G1855" s="17">
        <v>2691.81</v>
      </c>
    </row>
    <row r="1856" spans="1:7" x14ac:dyDescent="0.3">
      <c r="A1856" t="s">
        <v>51</v>
      </c>
      <c r="B1856" t="s">
        <v>16</v>
      </c>
      <c r="C1856" t="s">
        <v>24</v>
      </c>
      <c r="D1856" t="s">
        <v>20</v>
      </c>
      <c r="E1856" s="17">
        <v>14201.47</v>
      </c>
      <c r="F1856" s="17">
        <v>6377.74</v>
      </c>
      <c r="G1856" s="17">
        <v>6377.74</v>
      </c>
    </row>
    <row r="1857" spans="1:7" x14ac:dyDescent="0.3">
      <c r="A1857" t="s">
        <v>51</v>
      </c>
      <c r="B1857" t="s">
        <v>16</v>
      </c>
      <c r="C1857" t="s">
        <v>24</v>
      </c>
      <c r="D1857" t="s">
        <v>21</v>
      </c>
      <c r="E1857" s="17">
        <v>20944.830000000002</v>
      </c>
      <c r="F1857" s="17">
        <v>9318.48</v>
      </c>
      <c r="G1857" s="17">
        <v>9318.48</v>
      </c>
    </row>
    <row r="1858" spans="1:7" x14ac:dyDescent="0.3">
      <c r="A1858" t="s">
        <v>51</v>
      </c>
      <c r="B1858" t="s">
        <v>16</v>
      </c>
      <c r="C1858" t="s">
        <v>25</v>
      </c>
      <c r="D1858" t="s">
        <v>18</v>
      </c>
      <c r="E1858" s="17">
        <v>2202.4899999999998</v>
      </c>
      <c r="F1858" s="17">
        <v>794.25</v>
      </c>
      <c r="G1858" s="17">
        <v>794.25</v>
      </c>
    </row>
    <row r="1859" spans="1:7" x14ac:dyDescent="0.3">
      <c r="A1859" t="s">
        <v>51</v>
      </c>
      <c r="B1859" t="s">
        <v>16</v>
      </c>
      <c r="C1859" t="s">
        <v>25</v>
      </c>
      <c r="D1859" t="s">
        <v>19</v>
      </c>
      <c r="E1859" s="17">
        <v>12250.35</v>
      </c>
      <c r="F1859" s="17">
        <v>5196.7700000000004</v>
      </c>
      <c r="G1859" s="17">
        <v>5196.7700000000004</v>
      </c>
    </row>
    <row r="1860" spans="1:7" x14ac:dyDescent="0.3">
      <c r="A1860" t="s">
        <v>51</v>
      </c>
      <c r="B1860" t="s">
        <v>16</v>
      </c>
      <c r="C1860" t="s">
        <v>25</v>
      </c>
      <c r="D1860" t="s">
        <v>20</v>
      </c>
      <c r="E1860" s="17">
        <v>16115.13</v>
      </c>
      <c r="F1860" s="17">
        <v>5603.32</v>
      </c>
      <c r="G1860" s="17">
        <v>5603.32</v>
      </c>
    </row>
    <row r="1861" spans="1:7" x14ac:dyDescent="0.3">
      <c r="A1861" t="s">
        <v>51</v>
      </c>
      <c r="B1861" t="s">
        <v>16</v>
      </c>
      <c r="C1861" t="s">
        <v>25</v>
      </c>
      <c r="D1861" t="s">
        <v>21</v>
      </c>
      <c r="E1861" s="17">
        <v>24054.63</v>
      </c>
      <c r="F1861" s="17">
        <v>8762.83</v>
      </c>
      <c r="G1861" s="17">
        <v>8762.83</v>
      </c>
    </row>
    <row r="1862" spans="1:7" x14ac:dyDescent="0.3">
      <c r="A1862" t="s">
        <v>51</v>
      </c>
      <c r="B1862" t="s">
        <v>26</v>
      </c>
      <c r="C1862" t="s">
        <v>17</v>
      </c>
      <c r="D1862" t="s">
        <v>18</v>
      </c>
      <c r="E1862" s="17">
        <v>9381.5499999999993</v>
      </c>
      <c r="F1862" s="17">
        <v>4008.75</v>
      </c>
      <c r="G1862" s="17">
        <v>4008.75</v>
      </c>
    </row>
    <row r="1863" spans="1:7" x14ac:dyDescent="0.3">
      <c r="A1863" t="s">
        <v>51</v>
      </c>
      <c r="B1863" t="s">
        <v>26</v>
      </c>
      <c r="C1863" t="s">
        <v>17</v>
      </c>
      <c r="D1863" t="s">
        <v>19</v>
      </c>
      <c r="E1863" s="17">
        <v>23734.720000000001</v>
      </c>
      <c r="F1863" s="17">
        <v>6745.09</v>
      </c>
      <c r="G1863" s="17">
        <v>6745.09</v>
      </c>
    </row>
    <row r="1864" spans="1:7" x14ac:dyDescent="0.3">
      <c r="A1864" t="s">
        <v>51</v>
      </c>
      <c r="B1864" t="s">
        <v>26</v>
      </c>
      <c r="C1864" t="s">
        <v>17</v>
      </c>
      <c r="D1864" t="s">
        <v>20</v>
      </c>
      <c r="E1864" s="17">
        <v>14425.46</v>
      </c>
      <c r="F1864" s="17">
        <v>3698.17</v>
      </c>
      <c r="G1864" s="17">
        <v>3698.17</v>
      </c>
    </row>
    <row r="1865" spans="1:7" x14ac:dyDescent="0.3">
      <c r="A1865" t="s">
        <v>51</v>
      </c>
      <c r="B1865" t="s">
        <v>26</v>
      </c>
      <c r="C1865" t="s">
        <v>17</v>
      </c>
      <c r="D1865" t="s">
        <v>21</v>
      </c>
      <c r="E1865" s="17">
        <v>22960.73</v>
      </c>
      <c r="F1865" s="17">
        <v>9229.51</v>
      </c>
      <c r="G1865" s="17">
        <v>9229.51</v>
      </c>
    </row>
    <row r="1866" spans="1:7" x14ac:dyDescent="0.3">
      <c r="A1866" t="s">
        <v>51</v>
      </c>
      <c r="B1866" t="s">
        <v>26</v>
      </c>
      <c r="C1866" t="s">
        <v>22</v>
      </c>
      <c r="D1866" t="s">
        <v>18</v>
      </c>
      <c r="E1866" s="17">
        <v>10624.03</v>
      </c>
      <c r="F1866" s="17">
        <v>4215.2</v>
      </c>
      <c r="G1866" s="17">
        <v>4215.2</v>
      </c>
    </row>
    <row r="1867" spans="1:7" x14ac:dyDescent="0.3">
      <c r="A1867" t="s">
        <v>51</v>
      </c>
      <c r="B1867" t="s">
        <v>26</v>
      </c>
      <c r="C1867" t="s">
        <v>22</v>
      </c>
      <c r="D1867" t="s">
        <v>19</v>
      </c>
      <c r="E1867" s="17">
        <v>12247.81</v>
      </c>
      <c r="F1867" s="17">
        <v>2349.6200000000008</v>
      </c>
      <c r="G1867" s="17">
        <v>2349.62</v>
      </c>
    </row>
    <row r="1868" spans="1:7" x14ac:dyDescent="0.3">
      <c r="A1868" t="s">
        <v>51</v>
      </c>
      <c r="B1868" t="s">
        <v>26</v>
      </c>
      <c r="C1868" t="s">
        <v>22</v>
      </c>
      <c r="D1868" t="s">
        <v>20</v>
      </c>
      <c r="E1868" s="17">
        <v>22660.48</v>
      </c>
      <c r="F1868" s="17">
        <v>5256.7400000000016</v>
      </c>
      <c r="G1868" s="17">
        <v>5256.74</v>
      </c>
    </row>
    <row r="1869" spans="1:7" x14ac:dyDescent="0.3">
      <c r="A1869" t="s">
        <v>51</v>
      </c>
      <c r="B1869" t="s">
        <v>26</v>
      </c>
      <c r="C1869" t="s">
        <v>22</v>
      </c>
      <c r="D1869" t="s">
        <v>21</v>
      </c>
      <c r="E1869" s="17">
        <v>13819.58</v>
      </c>
      <c r="F1869" s="17">
        <v>6025.57</v>
      </c>
      <c r="G1869" s="17">
        <v>6025.57</v>
      </c>
    </row>
    <row r="1870" spans="1:7" x14ac:dyDescent="0.3">
      <c r="A1870" t="s">
        <v>51</v>
      </c>
      <c r="B1870" t="s">
        <v>26</v>
      </c>
      <c r="C1870" t="s">
        <v>23</v>
      </c>
      <c r="D1870" t="s">
        <v>18</v>
      </c>
      <c r="E1870" s="17">
        <v>5850.08</v>
      </c>
      <c r="F1870" s="17">
        <v>2563.4699999999998</v>
      </c>
      <c r="G1870" s="17">
        <v>2563.4699999999998</v>
      </c>
    </row>
    <row r="1871" spans="1:7" x14ac:dyDescent="0.3">
      <c r="A1871" t="s">
        <v>51</v>
      </c>
      <c r="B1871" t="s">
        <v>26</v>
      </c>
      <c r="C1871" t="s">
        <v>23</v>
      </c>
      <c r="D1871" t="s">
        <v>19</v>
      </c>
      <c r="E1871" s="17">
        <v>14373.42</v>
      </c>
      <c r="F1871" s="17">
        <v>2615.66</v>
      </c>
      <c r="G1871" s="17">
        <v>2615.66</v>
      </c>
    </row>
    <row r="1872" spans="1:7" x14ac:dyDescent="0.3">
      <c r="A1872" t="s">
        <v>51</v>
      </c>
      <c r="B1872" t="s">
        <v>26</v>
      </c>
      <c r="C1872" t="s">
        <v>23</v>
      </c>
      <c r="D1872" t="s">
        <v>20</v>
      </c>
      <c r="E1872" s="17">
        <v>3505.85</v>
      </c>
      <c r="F1872" s="17">
        <v>1265.58</v>
      </c>
      <c r="G1872" s="17">
        <v>1265.58</v>
      </c>
    </row>
    <row r="1873" spans="1:7" x14ac:dyDescent="0.3">
      <c r="A1873" t="s">
        <v>51</v>
      </c>
      <c r="B1873" t="s">
        <v>26</v>
      </c>
      <c r="C1873" t="s">
        <v>23</v>
      </c>
      <c r="D1873" t="s">
        <v>21</v>
      </c>
      <c r="E1873" s="17">
        <v>19792.39</v>
      </c>
      <c r="F1873" s="17">
        <v>8184.880000000001</v>
      </c>
      <c r="G1873" s="17">
        <v>8184.88</v>
      </c>
    </row>
    <row r="1874" spans="1:7" x14ac:dyDescent="0.3">
      <c r="A1874" t="s">
        <v>51</v>
      </c>
      <c r="B1874" t="s">
        <v>26</v>
      </c>
      <c r="C1874" t="s">
        <v>24</v>
      </c>
      <c r="D1874" t="s">
        <v>18</v>
      </c>
      <c r="E1874" s="17">
        <v>11756.82</v>
      </c>
      <c r="F1874" s="17">
        <v>2446.130000000001</v>
      </c>
      <c r="G1874" s="17">
        <v>2446.13</v>
      </c>
    </row>
    <row r="1875" spans="1:7" x14ac:dyDescent="0.3">
      <c r="A1875" t="s">
        <v>51</v>
      </c>
      <c r="B1875" t="s">
        <v>26</v>
      </c>
      <c r="C1875" t="s">
        <v>24</v>
      </c>
      <c r="D1875" t="s">
        <v>19</v>
      </c>
      <c r="E1875" s="17">
        <v>14368.35</v>
      </c>
      <c r="F1875" s="17">
        <v>5312.5599999999986</v>
      </c>
      <c r="G1875" s="17">
        <v>5312.56</v>
      </c>
    </row>
    <row r="1876" spans="1:7" x14ac:dyDescent="0.3">
      <c r="A1876" t="s">
        <v>51</v>
      </c>
      <c r="B1876" t="s">
        <v>26</v>
      </c>
      <c r="C1876" t="s">
        <v>24</v>
      </c>
      <c r="D1876" t="s">
        <v>20</v>
      </c>
      <c r="E1876" s="17">
        <v>24453.15</v>
      </c>
      <c r="F1876" s="17">
        <v>9519.75</v>
      </c>
      <c r="G1876" s="17">
        <v>9519.75</v>
      </c>
    </row>
    <row r="1877" spans="1:7" x14ac:dyDescent="0.3">
      <c r="A1877" t="s">
        <v>51</v>
      </c>
      <c r="B1877" t="s">
        <v>26</v>
      </c>
      <c r="C1877" t="s">
        <v>24</v>
      </c>
      <c r="D1877" t="s">
        <v>21</v>
      </c>
      <c r="E1877" s="17">
        <v>16870.91</v>
      </c>
      <c r="F1877" s="17">
        <v>7317.4700000000012</v>
      </c>
      <c r="G1877" s="17">
        <v>7317.47</v>
      </c>
    </row>
    <row r="1878" spans="1:7" x14ac:dyDescent="0.3">
      <c r="A1878" t="s">
        <v>51</v>
      </c>
      <c r="B1878" t="s">
        <v>26</v>
      </c>
      <c r="C1878" t="s">
        <v>25</v>
      </c>
      <c r="D1878" t="s">
        <v>18</v>
      </c>
      <c r="E1878" s="17">
        <v>19178.490000000002</v>
      </c>
      <c r="F1878" s="17">
        <v>4248.2999999999993</v>
      </c>
      <c r="G1878" s="17">
        <v>4248.3</v>
      </c>
    </row>
    <row r="1879" spans="1:7" x14ac:dyDescent="0.3">
      <c r="A1879" t="s">
        <v>51</v>
      </c>
      <c r="B1879" t="s">
        <v>26</v>
      </c>
      <c r="C1879" t="s">
        <v>25</v>
      </c>
      <c r="D1879" t="s">
        <v>19</v>
      </c>
      <c r="E1879" s="17">
        <v>12562.18</v>
      </c>
      <c r="F1879" s="17">
        <v>3386.2999999999988</v>
      </c>
      <c r="G1879" s="17">
        <v>3386.3</v>
      </c>
    </row>
    <row r="1880" spans="1:7" x14ac:dyDescent="0.3">
      <c r="A1880" t="s">
        <v>51</v>
      </c>
      <c r="B1880" t="s">
        <v>26</v>
      </c>
      <c r="C1880" t="s">
        <v>25</v>
      </c>
      <c r="D1880" t="s">
        <v>20</v>
      </c>
      <c r="E1880" s="17">
        <v>4012.98</v>
      </c>
      <c r="F1880" s="17">
        <v>781.13999999999987</v>
      </c>
      <c r="G1880" s="17">
        <v>781.14</v>
      </c>
    </row>
    <row r="1881" spans="1:7" x14ac:dyDescent="0.3">
      <c r="A1881" t="s">
        <v>51</v>
      </c>
      <c r="B1881" t="s">
        <v>26</v>
      </c>
      <c r="C1881" t="s">
        <v>25</v>
      </c>
      <c r="D1881" t="s">
        <v>21</v>
      </c>
      <c r="E1881" s="17">
        <v>20266.939999999999</v>
      </c>
      <c r="F1881" s="17">
        <v>6701.93</v>
      </c>
      <c r="G1881" s="17">
        <v>6701.93</v>
      </c>
    </row>
    <row r="1882" spans="1:7" x14ac:dyDescent="0.3">
      <c r="A1882" t="s">
        <v>51</v>
      </c>
      <c r="B1882" t="s">
        <v>27</v>
      </c>
      <c r="C1882" t="s">
        <v>17</v>
      </c>
      <c r="D1882" t="s">
        <v>18</v>
      </c>
      <c r="E1882" s="17">
        <v>15224.13</v>
      </c>
      <c r="F1882" s="17">
        <v>3676.08</v>
      </c>
      <c r="G1882" s="17">
        <v>3676.08</v>
      </c>
    </row>
    <row r="1883" spans="1:7" x14ac:dyDescent="0.3">
      <c r="A1883" t="s">
        <v>51</v>
      </c>
      <c r="B1883" t="s">
        <v>27</v>
      </c>
      <c r="C1883" t="s">
        <v>17</v>
      </c>
      <c r="D1883" t="s">
        <v>19</v>
      </c>
      <c r="E1883" s="17">
        <v>7948.9</v>
      </c>
      <c r="F1883" s="17">
        <v>2263.6</v>
      </c>
      <c r="G1883" s="17">
        <v>2263.6</v>
      </c>
    </row>
    <row r="1884" spans="1:7" x14ac:dyDescent="0.3">
      <c r="A1884" t="s">
        <v>51</v>
      </c>
      <c r="B1884" t="s">
        <v>27</v>
      </c>
      <c r="C1884" t="s">
        <v>17</v>
      </c>
      <c r="D1884" t="s">
        <v>20</v>
      </c>
      <c r="E1884" s="17">
        <v>16495</v>
      </c>
      <c r="F1884" s="17">
        <v>4897.6399999999994</v>
      </c>
      <c r="G1884" s="17">
        <v>4897.6400000000003</v>
      </c>
    </row>
    <row r="1885" spans="1:7" x14ac:dyDescent="0.3">
      <c r="A1885" t="s">
        <v>51</v>
      </c>
      <c r="B1885" t="s">
        <v>27</v>
      </c>
      <c r="C1885" t="s">
        <v>17</v>
      </c>
      <c r="D1885" t="s">
        <v>21</v>
      </c>
      <c r="E1885" s="17">
        <v>2388.4899999999998</v>
      </c>
      <c r="F1885" s="17">
        <v>864.13000000000011</v>
      </c>
      <c r="G1885" s="17">
        <v>864.13</v>
      </c>
    </row>
    <row r="1886" spans="1:7" x14ac:dyDescent="0.3">
      <c r="A1886" t="s">
        <v>51</v>
      </c>
      <c r="B1886" t="s">
        <v>27</v>
      </c>
      <c r="C1886" t="s">
        <v>22</v>
      </c>
      <c r="D1886" t="s">
        <v>18</v>
      </c>
      <c r="E1886" s="17">
        <v>14301.19</v>
      </c>
      <c r="F1886" s="17">
        <v>5050.9499999999989</v>
      </c>
      <c r="G1886" s="17">
        <v>5050.95</v>
      </c>
    </row>
    <row r="1887" spans="1:7" x14ac:dyDescent="0.3">
      <c r="A1887" t="s">
        <v>51</v>
      </c>
      <c r="B1887" t="s">
        <v>27</v>
      </c>
      <c r="C1887" t="s">
        <v>22</v>
      </c>
      <c r="D1887" t="s">
        <v>19</v>
      </c>
      <c r="E1887" s="17">
        <v>16222.04</v>
      </c>
      <c r="F1887" s="17">
        <v>6231.0400000000009</v>
      </c>
      <c r="G1887" s="17">
        <v>6231.04</v>
      </c>
    </row>
    <row r="1888" spans="1:7" x14ac:dyDescent="0.3">
      <c r="A1888" t="s">
        <v>51</v>
      </c>
      <c r="B1888" t="s">
        <v>27</v>
      </c>
      <c r="C1888" t="s">
        <v>22</v>
      </c>
      <c r="D1888" t="s">
        <v>20</v>
      </c>
      <c r="E1888" s="17">
        <v>15468.98</v>
      </c>
      <c r="F1888" s="17">
        <v>5711.74</v>
      </c>
      <c r="G1888" s="17">
        <v>5711.74</v>
      </c>
    </row>
    <row r="1889" spans="1:7" x14ac:dyDescent="0.3">
      <c r="A1889" t="s">
        <v>51</v>
      </c>
      <c r="B1889" t="s">
        <v>27</v>
      </c>
      <c r="C1889" t="s">
        <v>22</v>
      </c>
      <c r="D1889" t="s">
        <v>21</v>
      </c>
      <c r="E1889" s="17">
        <v>3669.56</v>
      </c>
      <c r="F1889" s="17">
        <v>1580.01</v>
      </c>
      <c r="G1889" s="17">
        <v>1580.01</v>
      </c>
    </row>
    <row r="1890" spans="1:7" x14ac:dyDescent="0.3">
      <c r="A1890" t="s">
        <v>51</v>
      </c>
      <c r="B1890" t="s">
        <v>27</v>
      </c>
      <c r="C1890" t="s">
        <v>23</v>
      </c>
      <c r="D1890" t="s">
        <v>18</v>
      </c>
      <c r="E1890" s="17">
        <v>4441.12</v>
      </c>
      <c r="F1890" s="17">
        <v>1742.97</v>
      </c>
      <c r="G1890" s="17">
        <v>1742.97</v>
      </c>
    </row>
    <row r="1891" spans="1:7" x14ac:dyDescent="0.3">
      <c r="A1891" t="s">
        <v>51</v>
      </c>
      <c r="B1891" t="s">
        <v>27</v>
      </c>
      <c r="C1891" t="s">
        <v>23</v>
      </c>
      <c r="D1891" t="s">
        <v>19</v>
      </c>
      <c r="E1891" s="17">
        <v>8931.07</v>
      </c>
      <c r="F1891" s="17">
        <v>1816.190000000001</v>
      </c>
      <c r="G1891" s="17">
        <v>1816.19</v>
      </c>
    </row>
    <row r="1892" spans="1:7" x14ac:dyDescent="0.3">
      <c r="A1892" t="s">
        <v>51</v>
      </c>
      <c r="B1892" t="s">
        <v>27</v>
      </c>
      <c r="C1892" t="s">
        <v>23</v>
      </c>
      <c r="D1892" t="s">
        <v>20</v>
      </c>
      <c r="E1892" s="17">
        <v>19601.310000000001</v>
      </c>
      <c r="F1892" s="17">
        <v>5844.57</v>
      </c>
      <c r="G1892" s="17">
        <v>5844.57</v>
      </c>
    </row>
    <row r="1893" spans="1:7" x14ac:dyDescent="0.3">
      <c r="A1893" t="s">
        <v>51</v>
      </c>
      <c r="B1893" t="s">
        <v>27</v>
      </c>
      <c r="C1893" t="s">
        <v>23</v>
      </c>
      <c r="D1893" t="s">
        <v>21</v>
      </c>
      <c r="E1893" s="17">
        <v>11087.6</v>
      </c>
      <c r="F1893" s="17">
        <v>3973.74</v>
      </c>
      <c r="G1893" s="17">
        <v>3973.74</v>
      </c>
    </row>
    <row r="1894" spans="1:7" x14ac:dyDescent="0.3">
      <c r="A1894" t="s">
        <v>51</v>
      </c>
      <c r="B1894" t="s">
        <v>27</v>
      </c>
      <c r="C1894" t="s">
        <v>24</v>
      </c>
      <c r="D1894" t="s">
        <v>18</v>
      </c>
      <c r="E1894" s="17">
        <v>12901.72</v>
      </c>
      <c r="F1894" s="17">
        <v>4180.6299999999992</v>
      </c>
      <c r="G1894" s="17">
        <v>4180.63</v>
      </c>
    </row>
    <row r="1895" spans="1:7" x14ac:dyDescent="0.3">
      <c r="A1895" t="s">
        <v>51</v>
      </c>
      <c r="B1895" t="s">
        <v>27</v>
      </c>
      <c r="C1895" t="s">
        <v>24</v>
      </c>
      <c r="D1895" t="s">
        <v>19</v>
      </c>
      <c r="E1895" s="17">
        <v>5136.7700000000004</v>
      </c>
      <c r="F1895" s="17">
        <v>1466.9</v>
      </c>
      <c r="G1895" s="17">
        <v>1466.9</v>
      </c>
    </row>
    <row r="1896" spans="1:7" x14ac:dyDescent="0.3">
      <c r="A1896" t="s">
        <v>51</v>
      </c>
      <c r="B1896" t="s">
        <v>27</v>
      </c>
      <c r="C1896" t="s">
        <v>24</v>
      </c>
      <c r="D1896" t="s">
        <v>20</v>
      </c>
      <c r="E1896" s="17">
        <v>20342.150000000001</v>
      </c>
      <c r="F1896" s="17">
        <v>6658.91</v>
      </c>
      <c r="G1896" s="17">
        <v>6658.91</v>
      </c>
    </row>
    <row r="1897" spans="1:7" x14ac:dyDescent="0.3">
      <c r="A1897" t="s">
        <v>51</v>
      </c>
      <c r="B1897" t="s">
        <v>27</v>
      </c>
      <c r="C1897" t="s">
        <v>24</v>
      </c>
      <c r="D1897" t="s">
        <v>21</v>
      </c>
      <c r="E1897" s="17">
        <v>24083.09</v>
      </c>
      <c r="F1897" s="17">
        <v>5271.7999999999993</v>
      </c>
      <c r="G1897" s="17">
        <v>5271.8</v>
      </c>
    </row>
    <row r="1898" spans="1:7" x14ac:dyDescent="0.3">
      <c r="A1898" t="s">
        <v>51</v>
      </c>
      <c r="B1898" t="s">
        <v>27</v>
      </c>
      <c r="C1898" t="s">
        <v>25</v>
      </c>
      <c r="D1898" t="s">
        <v>18</v>
      </c>
      <c r="E1898" s="17">
        <v>17577.650000000001</v>
      </c>
      <c r="F1898" s="17">
        <v>7502.59</v>
      </c>
      <c r="G1898" s="17">
        <v>7502.59</v>
      </c>
    </row>
    <row r="1899" spans="1:7" x14ac:dyDescent="0.3">
      <c r="A1899" t="s">
        <v>51</v>
      </c>
      <c r="B1899" t="s">
        <v>27</v>
      </c>
      <c r="C1899" t="s">
        <v>25</v>
      </c>
      <c r="D1899" t="s">
        <v>19</v>
      </c>
      <c r="E1899" s="17">
        <v>20285.39</v>
      </c>
      <c r="F1899" s="17">
        <v>7645.92</v>
      </c>
      <c r="G1899" s="17">
        <v>7645.92</v>
      </c>
    </row>
    <row r="1900" spans="1:7" x14ac:dyDescent="0.3">
      <c r="A1900" t="s">
        <v>51</v>
      </c>
      <c r="B1900" t="s">
        <v>27</v>
      </c>
      <c r="C1900" t="s">
        <v>25</v>
      </c>
      <c r="D1900" t="s">
        <v>20</v>
      </c>
      <c r="E1900" s="17">
        <v>10582</v>
      </c>
      <c r="F1900" s="17">
        <v>4617.51</v>
      </c>
      <c r="G1900" s="17">
        <v>4617.51</v>
      </c>
    </row>
    <row r="1901" spans="1:7" x14ac:dyDescent="0.3">
      <c r="A1901" t="s">
        <v>51</v>
      </c>
      <c r="B1901" t="s">
        <v>27</v>
      </c>
      <c r="C1901" t="s">
        <v>25</v>
      </c>
      <c r="D1901" t="s">
        <v>21</v>
      </c>
      <c r="E1901" s="17">
        <v>14731.06</v>
      </c>
      <c r="F1901" s="17">
        <v>4859.32</v>
      </c>
      <c r="G1901" s="17">
        <v>4859.32</v>
      </c>
    </row>
    <row r="1902" spans="1:7" x14ac:dyDescent="0.3">
      <c r="A1902" t="s">
        <v>51</v>
      </c>
      <c r="B1902" t="s">
        <v>28</v>
      </c>
      <c r="C1902" t="s">
        <v>17</v>
      </c>
      <c r="D1902" t="s">
        <v>18</v>
      </c>
      <c r="E1902" s="17">
        <v>4834.41</v>
      </c>
      <c r="F1902" s="17">
        <v>876.76000000000022</v>
      </c>
      <c r="G1902" s="17">
        <v>876.76</v>
      </c>
    </row>
    <row r="1903" spans="1:7" x14ac:dyDescent="0.3">
      <c r="A1903" t="s">
        <v>51</v>
      </c>
      <c r="B1903" t="s">
        <v>28</v>
      </c>
      <c r="C1903" t="s">
        <v>17</v>
      </c>
      <c r="D1903" t="s">
        <v>19</v>
      </c>
      <c r="E1903" s="17">
        <v>15723.06</v>
      </c>
      <c r="F1903" s="17">
        <v>5110.4799999999996</v>
      </c>
      <c r="G1903" s="17">
        <v>5110.4799999999996</v>
      </c>
    </row>
    <row r="1904" spans="1:7" x14ac:dyDescent="0.3">
      <c r="A1904" t="s">
        <v>51</v>
      </c>
      <c r="B1904" t="s">
        <v>28</v>
      </c>
      <c r="C1904" t="s">
        <v>17</v>
      </c>
      <c r="D1904" t="s">
        <v>20</v>
      </c>
      <c r="E1904" s="17">
        <v>23780.53</v>
      </c>
      <c r="F1904" s="17">
        <v>6236.84</v>
      </c>
      <c r="G1904" s="17">
        <v>6236.84</v>
      </c>
    </row>
    <row r="1905" spans="1:7" x14ac:dyDescent="0.3">
      <c r="A1905" t="s">
        <v>51</v>
      </c>
      <c r="B1905" t="s">
        <v>28</v>
      </c>
      <c r="C1905" t="s">
        <v>17</v>
      </c>
      <c r="D1905" t="s">
        <v>21</v>
      </c>
      <c r="E1905" s="17">
        <v>19210.82</v>
      </c>
      <c r="F1905" s="17">
        <v>8144.57</v>
      </c>
      <c r="G1905" s="17">
        <v>8144.57</v>
      </c>
    </row>
    <row r="1906" spans="1:7" x14ac:dyDescent="0.3">
      <c r="A1906" t="s">
        <v>51</v>
      </c>
      <c r="B1906" t="s">
        <v>28</v>
      </c>
      <c r="C1906" t="s">
        <v>22</v>
      </c>
      <c r="D1906" t="s">
        <v>18</v>
      </c>
      <c r="E1906" s="17">
        <v>9908.59</v>
      </c>
      <c r="F1906" s="17">
        <v>2887.5300000000011</v>
      </c>
      <c r="G1906" s="17">
        <v>2887.53</v>
      </c>
    </row>
    <row r="1907" spans="1:7" x14ac:dyDescent="0.3">
      <c r="A1907" t="s">
        <v>51</v>
      </c>
      <c r="B1907" t="s">
        <v>28</v>
      </c>
      <c r="C1907" t="s">
        <v>22</v>
      </c>
      <c r="D1907" t="s">
        <v>19</v>
      </c>
      <c r="E1907" s="17">
        <v>16856.419999999998</v>
      </c>
      <c r="F1907" s="17">
        <v>5366.9</v>
      </c>
      <c r="G1907" s="17">
        <v>5366.9</v>
      </c>
    </row>
    <row r="1908" spans="1:7" x14ac:dyDescent="0.3">
      <c r="A1908" t="s">
        <v>51</v>
      </c>
      <c r="B1908" t="s">
        <v>28</v>
      </c>
      <c r="C1908" t="s">
        <v>22</v>
      </c>
      <c r="D1908" t="s">
        <v>20</v>
      </c>
      <c r="E1908" s="17">
        <v>5701.95</v>
      </c>
      <c r="F1908" s="17">
        <v>1366.26</v>
      </c>
      <c r="G1908" s="17">
        <v>1366.26</v>
      </c>
    </row>
    <row r="1909" spans="1:7" x14ac:dyDescent="0.3">
      <c r="A1909" t="s">
        <v>51</v>
      </c>
      <c r="B1909" t="s">
        <v>28</v>
      </c>
      <c r="C1909" t="s">
        <v>22</v>
      </c>
      <c r="D1909" t="s">
        <v>21</v>
      </c>
      <c r="E1909" s="17">
        <v>21199.21</v>
      </c>
      <c r="F1909" s="17">
        <v>4928.1399999999994</v>
      </c>
      <c r="G1909" s="17">
        <v>4928.1400000000003</v>
      </c>
    </row>
    <row r="1910" spans="1:7" x14ac:dyDescent="0.3">
      <c r="A1910" t="s">
        <v>51</v>
      </c>
      <c r="B1910" t="s">
        <v>28</v>
      </c>
      <c r="C1910" t="s">
        <v>23</v>
      </c>
      <c r="D1910" t="s">
        <v>18</v>
      </c>
      <c r="E1910" s="17">
        <v>6171.23</v>
      </c>
      <c r="F1910" s="17">
        <v>2443.2399999999998</v>
      </c>
      <c r="G1910" s="17">
        <v>2443.2399999999998</v>
      </c>
    </row>
    <row r="1911" spans="1:7" x14ac:dyDescent="0.3">
      <c r="A1911" t="s">
        <v>51</v>
      </c>
      <c r="B1911" t="s">
        <v>28</v>
      </c>
      <c r="C1911" t="s">
        <v>23</v>
      </c>
      <c r="D1911" t="s">
        <v>19</v>
      </c>
      <c r="E1911" s="17">
        <v>21601.78</v>
      </c>
      <c r="F1911" s="17">
        <v>8854.02</v>
      </c>
      <c r="G1911" s="17">
        <v>8854.02</v>
      </c>
    </row>
    <row r="1912" spans="1:7" x14ac:dyDescent="0.3">
      <c r="A1912" t="s">
        <v>51</v>
      </c>
      <c r="B1912" t="s">
        <v>28</v>
      </c>
      <c r="C1912" t="s">
        <v>23</v>
      </c>
      <c r="D1912" t="s">
        <v>20</v>
      </c>
      <c r="E1912" s="17">
        <v>23444.51</v>
      </c>
      <c r="F1912" s="17">
        <v>10514.03</v>
      </c>
      <c r="G1912" s="17">
        <v>10514.03</v>
      </c>
    </row>
    <row r="1913" spans="1:7" x14ac:dyDescent="0.3">
      <c r="A1913" t="s">
        <v>51</v>
      </c>
      <c r="B1913" t="s">
        <v>28</v>
      </c>
      <c r="C1913" t="s">
        <v>23</v>
      </c>
      <c r="D1913" t="s">
        <v>21</v>
      </c>
      <c r="E1913" s="17">
        <v>12609.1</v>
      </c>
      <c r="F1913" s="17">
        <v>4140.9499999999989</v>
      </c>
      <c r="G1913" s="17">
        <v>4140.95</v>
      </c>
    </row>
    <row r="1914" spans="1:7" x14ac:dyDescent="0.3">
      <c r="A1914" t="s">
        <v>51</v>
      </c>
      <c r="B1914" t="s">
        <v>28</v>
      </c>
      <c r="C1914" t="s">
        <v>24</v>
      </c>
      <c r="D1914" t="s">
        <v>18</v>
      </c>
      <c r="E1914" s="17">
        <v>8685.01</v>
      </c>
      <c r="F1914" s="17">
        <v>1721.26</v>
      </c>
      <c r="G1914" s="17">
        <v>1721.26</v>
      </c>
    </row>
    <row r="1915" spans="1:7" x14ac:dyDescent="0.3">
      <c r="A1915" t="s">
        <v>51</v>
      </c>
      <c r="B1915" t="s">
        <v>28</v>
      </c>
      <c r="C1915" t="s">
        <v>24</v>
      </c>
      <c r="D1915" t="s">
        <v>19</v>
      </c>
      <c r="E1915" s="17">
        <v>4258.66</v>
      </c>
      <c r="F1915" s="17">
        <v>1600.87</v>
      </c>
      <c r="G1915" s="17">
        <v>1600.87</v>
      </c>
    </row>
    <row r="1916" spans="1:7" x14ac:dyDescent="0.3">
      <c r="A1916" t="s">
        <v>51</v>
      </c>
      <c r="B1916" t="s">
        <v>28</v>
      </c>
      <c r="C1916" t="s">
        <v>24</v>
      </c>
      <c r="D1916" t="s">
        <v>20</v>
      </c>
      <c r="E1916" s="17">
        <v>13205.38</v>
      </c>
      <c r="F1916" s="17">
        <v>3556.6</v>
      </c>
      <c r="G1916" s="17">
        <v>3556.6</v>
      </c>
    </row>
    <row r="1917" spans="1:7" x14ac:dyDescent="0.3">
      <c r="A1917" t="s">
        <v>51</v>
      </c>
      <c r="B1917" t="s">
        <v>28</v>
      </c>
      <c r="C1917" t="s">
        <v>24</v>
      </c>
      <c r="D1917" t="s">
        <v>21</v>
      </c>
      <c r="E1917" s="17">
        <v>4948.95</v>
      </c>
      <c r="F1917" s="17">
        <v>1766.66</v>
      </c>
      <c r="G1917" s="17">
        <v>1766.66</v>
      </c>
    </row>
    <row r="1918" spans="1:7" x14ac:dyDescent="0.3">
      <c r="A1918" t="s">
        <v>51</v>
      </c>
      <c r="B1918" t="s">
        <v>28</v>
      </c>
      <c r="C1918" t="s">
        <v>25</v>
      </c>
      <c r="D1918" t="s">
        <v>18</v>
      </c>
      <c r="E1918" s="17">
        <v>4301.04</v>
      </c>
      <c r="F1918" s="17">
        <v>1493.62</v>
      </c>
      <c r="G1918" s="17">
        <v>1493.62</v>
      </c>
    </row>
    <row r="1919" spans="1:7" x14ac:dyDescent="0.3">
      <c r="A1919" t="s">
        <v>51</v>
      </c>
      <c r="B1919" t="s">
        <v>28</v>
      </c>
      <c r="C1919" t="s">
        <v>25</v>
      </c>
      <c r="D1919" t="s">
        <v>19</v>
      </c>
      <c r="E1919" s="17">
        <v>22702.73</v>
      </c>
      <c r="F1919" s="17">
        <v>6034.4399999999987</v>
      </c>
      <c r="G1919" s="17">
        <v>6034.44</v>
      </c>
    </row>
    <row r="1920" spans="1:7" x14ac:dyDescent="0.3">
      <c r="A1920" t="s">
        <v>51</v>
      </c>
      <c r="B1920" t="s">
        <v>28</v>
      </c>
      <c r="C1920" t="s">
        <v>25</v>
      </c>
      <c r="D1920" t="s">
        <v>20</v>
      </c>
      <c r="E1920" s="17">
        <v>12364.86</v>
      </c>
      <c r="F1920" s="17">
        <v>4283.34</v>
      </c>
      <c r="G1920" s="17">
        <v>4283.34</v>
      </c>
    </row>
    <row r="1921" spans="1:7" x14ac:dyDescent="0.3">
      <c r="A1921" t="s">
        <v>51</v>
      </c>
      <c r="B1921" t="s">
        <v>28</v>
      </c>
      <c r="C1921" t="s">
        <v>25</v>
      </c>
      <c r="D1921" t="s">
        <v>21</v>
      </c>
      <c r="E1921" s="17">
        <v>9030.5400000000009</v>
      </c>
      <c r="F1921" s="17">
        <v>3049.85</v>
      </c>
      <c r="G1921" s="17">
        <v>3049.85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31"/>
  <sheetViews>
    <sheetView workbookViewId="0">
      <selection activeCell="B30" sqref="B30"/>
    </sheetView>
  </sheetViews>
  <sheetFormatPr defaultRowHeight="14.4" x14ac:dyDescent="0.3"/>
  <cols>
    <col min="1" max="1" width="13.109375" customWidth="1"/>
    <col min="2" max="2" width="19.88671875" customWidth="1"/>
  </cols>
  <sheetData>
    <row r="1" spans="1:2" x14ac:dyDescent="0.3">
      <c r="A1" t="s">
        <v>8</v>
      </c>
      <c r="B1" t="s">
        <v>52</v>
      </c>
    </row>
    <row r="2" spans="1:2" x14ac:dyDescent="0.3">
      <c r="A2" t="s">
        <v>15</v>
      </c>
      <c r="B2" s="2">
        <f>IF(Dashboard!N10="All Year",IFERROR(SUMIF(Data!A:A,"Jan-24",Data!E:E),0),NA())</f>
        <v>1066930.27</v>
      </c>
    </row>
    <row r="3" spans="1:2" x14ac:dyDescent="0.3">
      <c r="A3" t="s">
        <v>29</v>
      </c>
      <c r="B3" s="2">
        <f>IF(Dashboard!N10="All Year",IFERROR(SUMIF(Data!A:A,"Feb-24",Data!E:E),0),NA())</f>
        <v>1077165.1299999997</v>
      </c>
    </row>
    <row r="4" spans="1:2" x14ac:dyDescent="0.3">
      <c r="A4" t="s">
        <v>30</v>
      </c>
      <c r="B4" s="2">
        <f>IF(Dashboard!N10="All Year",IFERROR(SUMIF(Data!A:A,"Mar-24",Data!E:E),0),NA())</f>
        <v>1138643.3900000006</v>
      </c>
    </row>
    <row r="5" spans="1:2" x14ac:dyDescent="0.3">
      <c r="A5" t="s">
        <v>31</v>
      </c>
      <c r="B5" s="2">
        <f>IF(Dashboard!N10="All Year",IFERROR(SUMIF(Data!A:A,"Apr-24",Data!E:E),0),NA())</f>
        <v>1028123.22</v>
      </c>
    </row>
    <row r="6" spans="1:2" x14ac:dyDescent="0.3">
      <c r="A6" t="s">
        <v>32</v>
      </c>
      <c r="B6" s="2">
        <f>IF(Dashboard!N10="All Year",IFERROR(SUMIF(Data!A:A,"May-24",Data!E:E),0),NA())</f>
        <v>1191370.1800000002</v>
      </c>
    </row>
    <row r="7" spans="1:2" x14ac:dyDescent="0.3">
      <c r="A7" t="s">
        <v>33</v>
      </c>
      <c r="B7" s="2">
        <f>IF(Dashboard!N10="All Year",IFERROR(SUMIF(Data!A:A,"Jun-24",Data!E:E),0),NA())</f>
        <v>1139893.8099999998</v>
      </c>
    </row>
    <row r="8" spans="1:2" x14ac:dyDescent="0.3">
      <c r="A8" t="s">
        <v>34</v>
      </c>
      <c r="B8" s="2">
        <f>IF(Dashboard!N10="All Year",IFERROR(SUMIF(Data!A:A,"Jul-24",Data!E:E),0),NA())</f>
        <v>1057368.32</v>
      </c>
    </row>
    <row r="9" spans="1:2" x14ac:dyDescent="0.3">
      <c r="A9" t="s">
        <v>35</v>
      </c>
      <c r="B9" s="2">
        <f>IF(Dashboard!N10="All Year",IFERROR(SUMIF(Data!A:A,"Aug-24",Data!E:E),0),NA())</f>
        <v>1044843.18</v>
      </c>
    </row>
    <row r="10" spans="1:2" x14ac:dyDescent="0.3">
      <c r="A10" t="s">
        <v>36</v>
      </c>
      <c r="B10" s="2">
        <f>IF(Dashboard!N10="All Year",IFERROR(SUMIF(Data!A:A,"Sep-24",Data!E:E),0),NA())</f>
        <v>1149328.7699999996</v>
      </c>
    </row>
    <row r="11" spans="1:2" x14ac:dyDescent="0.3">
      <c r="A11" t="s">
        <v>37</v>
      </c>
      <c r="B11" s="2">
        <f>IF(Dashboard!N10="All Year",IFERROR(SUMIF(Data!A:A,"Oct-24",Data!E:E),0),NA())</f>
        <v>1055875.4199999997</v>
      </c>
    </row>
    <row r="12" spans="1:2" x14ac:dyDescent="0.3">
      <c r="A12" t="s">
        <v>38</v>
      </c>
      <c r="B12" s="2">
        <f>IF(Dashboard!N10="All Year",IFERROR(SUMIF(Data!A:A,"Nov-24",Data!E:E),0),NA())</f>
        <v>1106715.1999999997</v>
      </c>
    </row>
    <row r="13" spans="1:2" x14ac:dyDescent="0.3">
      <c r="A13" t="s">
        <v>39</v>
      </c>
      <c r="B13" s="2">
        <f>IF(Dashboard!N10="All Year",IFERROR(SUMIF(Data!A:A,"Dec-24",Data!E:E),0),NA())</f>
        <v>1075851.6700000002</v>
      </c>
    </row>
    <row r="14" spans="1:2" x14ac:dyDescent="0.3">
      <c r="A14" t="s">
        <v>40</v>
      </c>
      <c r="B14" s="2">
        <f>IF(Dashboard!N10="All Year",IFERROR(SUMIF(Data!A:A,"Jan-25",Data!E:E),0),NA())</f>
        <v>1042079.73</v>
      </c>
    </row>
    <row r="15" spans="1:2" x14ac:dyDescent="0.3">
      <c r="A15" t="s">
        <v>41</v>
      </c>
      <c r="B15" s="2">
        <f>IF(Dashboard!N10="All Year",IFERROR(SUMIF(Data!A:A,"Feb-25",Data!E:E),0),NA())</f>
        <v>939821.29999999993</v>
      </c>
    </row>
    <row r="16" spans="1:2" x14ac:dyDescent="0.3">
      <c r="A16" t="s">
        <v>42</v>
      </c>
      <c r="B16" s="2">
        <f>IF(Dashboard!N10="All Year",IFERROR(SUMIF(Data!A:A,"Mar-25",Data!E:E),0),NA())</f>
        <v>1118736.3600000001</v>
      </c>
    </row>
    <row r="17" spans="1:2" x14ac:dyDescent="0.3">
      <c r="A17" t="s">
        <v>43</v>
      </c>
      <c r="B17" s="2">
        <f>IF(Dashboard!N10="All Year",IFERROR(SUMIF(Data!A:A,"Apr-25",Data!E:E),0),NA())</f>
        <v>1110109.6300000001</v>
      </c>
    </row>
    <row r="18" spans="1:2" x14ac:dyDescent="0.3">
      <c r="A18" t="s">
        <v>44</v>
      </c>
      <c r="B18" s="2">
        <f>IF(Dashboard!N10="All Year",IFERROR(SUMIF(Data!A:A,"May-25",Data!E:E),0),NA())</f>
        <v>1085136.46</v>
      </c>
    </row>
    <row r="19" spans="1:2" x14ac:dyDescent="0.3">
      <c r="A19" t="s">
        <v>45</v>
      </c>
      <c r="B19" s="2">
        <f>IF(Dashboard!N10="All Year",IFERROR(SUMIF(Data!A:A,"Jun-25",Data!E:E),0),NA())</f>
        <v>1104663.6599999999</v>
      </c>
    </row>
    <row r="20" spans="1:2" x14ac:dyDescent="0.3">
      <c r="A20" t="s">
        <v>46</v>
      </c>
      <c r="B20" s="2">
        <f>IF(Dashboard!N10="All Year",IFERROR(SUMIF(Data!A:A,"Jul-25",Data!E:E),0),NA())</f>
        <v>1113026.8699999996</v>
      </c>
    </row>
    <row r="21" spans="1:2" x14ac:dyDescent="0.3">
      <c r="A21" t="s">
        <v>47</v>
      </c>
      <c r="B21" s="2">
        <f>IF(Dashboard!N10="All Year",IFERROR(SUMIF(Data!A:A,"Aug-25",Data!E:E),0),NA())</f>
        <v>1100052.5100000005</v>
      </c>
    </row>
    <row r="22" spans="1:2" x14ac:dyDescent="0.3">
      <c r="A22" t="s">
        <v>48</v>
      </c>
      <c r="B22" s="2">
        <f>IF(Dashboard!N10="All Year",IFERROR(SUMIF(Data!A:A,"Sep-25",Data!E:E),0),NA())</f>
        <v>1052645.08</v>
      </c>
    </row>
    <row r="23" spans="1:2" x14ac:dyDescent="0.3">
      <c r="A23" t="s">
        <v>49</v>
      </c>
      <c r="B23" s="2">
        <f>IF(Dashboard!N10="All Year",IFERROR(SUMIF(Data!A:A,"Oct-25",Data!E:E),0),NA())</f>
        <v>1129072.5700000005</v>
      </c>
    </row>
    <row r="24" spans="1:2" x14ac:dyDescent="0.3">
      <c r="A24" t="s">
        <v>50</v>
      </c>
      <c r="B24" s="2">
        <f>IF(Dashboard!N10="All Year",IFERROR(SUMIF(Data!A:A,"Nov-25",Data!E:E),0),NA())</f>
        <v>1202889.1099999999</v>
      </c>
    </row>
    <row r="25" spans="1:2" x14ac:dyDescent="0.3">
      <c r="A25" t="s">
        <v>51</v>
      </c>
      <c r="B25" s="2">
        <f>IF(Dashboard!N10="All Year",IFERROR(SUMIF(Data!A:A,"Dec-25",Data!E:E),0),NA())</f>
        <v>1050398.47</v>
      </c>
    </row>
    <row r="27" spans="1:2" x14ac:dyDescent="0.3">
      <c r="A27" t="s">
        <v>9</v>
      </c>
      <c r="B27" t="s">
        <v>53</v>
      </c>
    </row>
    <row r="28" spans="1:2" x14ac:dyDescent="0.3">
      <c r="A28" t="s">
        <v>16</v>
      </c>
      <c r="B28" s="2" t="e">
        <f>IF(Dashboard!N10="All Year",NA(),IFERROR(SUMPRODUCT((Data!A2:A3841=Dashboard!N10)*(Data!B2:B3841="Week 1")*(Data!E2:E3841)),0))</f>
        <v>#N/A</v>
      </c>
    </row>
    <row r="29" spans="1:2" x14ac:dyDescent="0.3">
      <c r="A29" t="s">
        <v>26</v>
      </c>
      <c r="B29" s="2" t="e">
        <f>IF(Dashboard!N10="All Year",NA(),IFERROR(SUMPRODUCT((Data!A2:A3841=Dashboard!N10)*(Data!B2:B3841="Week 2")*(Data!E2:E3841)),0))</f>
        <v>#N/A</v>
      </c>
    </row>
    <row r="30" spans="1:2" x14ac:dyDescent="0.3">
      <c r="A30" t="s">
        <v>27</v>
      </c>
      <c r="B30" s="2" t="e">
        <f>IF(Dashboard!N10="All Year",NA(),IFERROR(SUMPRODUCT((Data!A2:A3841=Dashboard!N10)*(Data!B2:B3841="Week 3")*(Data!E2:E3841)),0))</f>
        <v>#N/A</v>
      </c>
    </row>
    <row r="31" spans="1:2" x14ac:dyDescent="0.3">
      <c r="A31" t="s">
        <v>28</v>
      </c>
      <c r="B31" s="2" t="e">
        <f>IF(Dashboard!N10="All Year",NA(),IFERROR(SUMPRODUCT((Data!A2:A3841=Dashboard!N10)*(Data!B2:B3841="Week 4")*(Data!E2:E3841)),0))</f>
        <v>#N/A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6"/>
  <sheetViews>
    <sheetView workbookViewId="0">
      <selection activeCell="I11" sqref="I11"/>
    </sheetView>
  </sheetViews>
  <sheetFormatPr defaultRowHeight="14.4" x14ac:dyDescent="0.3"/>
  <cols>
    <col min="2" max="2" width="16.109375" customWidth="1"/>
  </cols>
  <sheetData>
    <row r="1" spans="1:4" x14ac:dyDescent="0.3">
      <c r="D1" t="s">
        <v>54</v>
      </c>
    </row>
    <row r="2" spans="1:4" x14ac:dyDescent="0.3">
      <c r="A2" t="s">
        <v>12</v>
      </c>
      <c r="B2" s="15">
        <f>IF(Dashboard!N10="All Year",IFERROR(SUM(Data!E2:E3841),0),IFERROR(SUMPRODUCT((Data!A2:A3841=Dashboard!N10)*(Data!E2:E3841)),0))</f>
        <v>26180740.309999973</v>
      </c>
      <c r="D2" t="s">
        <v>5</v>
      </c>
    </row>
    <row r="3" spans="1:4" x14ac:dyDescent="0.3">
      <c r="A3" t="s">
        <v>14</v>
      </c>
      <c r="B3" s="15">
        <f>IF(Dashboard!N10="All Year",IFERROR(SUM(Data!G2:G3841),0),IFERROR(SUMPRODUCT((Data!A2:A3841=Dashboard!N10)*(Data!G2:G3841)),0))</f>
        <v>8239990.2899999926</v>
      </c>
      <c r="D3" t="s">
        <v>15</v>
      </c>
    </row>
    <row r="4" spans="1:4" x14ac:dyDescent="0.3">
      <c r="A4" t="s">
        <v>55</v>
      </c>
      <c r="B4" s="3">
        <f>IF(B2=0,0,B3/B2)</f>
        <v>0.31473480858188924</v>
      </c>
      <c r="D4" t="s">
        <v>29</v>
      </c>
    </row>
    <row r="5" spans="1:4" x14ac:dyDescent="0.3">
      <c r="D5" t="s">
        <v>30</v>
      </c>
    </row>
    <row r="6" spans="1:4" x14ac:dyDescent="0.3">
      <c r="A6" t="s">
        <v>10</v>
      </c>
      <c r="B6" t="s">
        <v>12</v>
      </c>
      <c r="D6" t="s">
        <v>31</v>
      </c>
    </row>
    <row r="7" spans="1:4" x14ac:dyDescent="0.3">
      <c r="A7" t="s">
        <v>17</v>
      </c>
      <c r="B7" s="15">
        <f>IF(Dashboard!N10="All Year",IFERROR(SUMIF(Data!C:C,A7,Data!E:E),0),IFERROR(SUMPRODUCT((Data!A2:A3841=Dashboard!N10)*(Data!C2:C3841=A7)*(Data!E2:E3841)),0))</f>
        <v>5133575.6899999948</v>
      </c>
      <c r="D7" t="s">
        <v>32</v>
      </c>
    </row>
    <row r="8" spans="1:4" x14ac:dyDescent="0.3">
      <c r="A8" t="s">
        <v>22</v>
      </c>
      <c r="B8" s="15">
        <f>IF(Dashboard!N10="All Year",IFERROR(SUMIF(Data!C:C,A8,Data!E:E),0),IFERROR(SUMPRODUCT((Data!A2:A3841=Dashboard!N10)*(Data!C2:C3841=A8)*(Data!E2:E3841)),0))</f>
        <v>5334491.2200000007</v>
      </c>
      <c r="D8" t="s">
        <v>33</v>
      </c>
    </row>
    <row r="9" spans="1:4" x14ac:dyDescent="0.3">
      <c r="A9" t="s">
        <v>23</v>
      </c>
      <c r="B9" s="15">
        <f>IF(Dashboard!N10="All Year",IFERROR(SUMIF(Data!C:C,A9,Data!E:E),0),IFERROR(SUMPRODUCT((Data!A2:A3841=Dashboard!N10)*(Data!C2:C3841=A9)*(Data!E2:E3841)),0))</f>
        <v>5375533.1799999997</v>
      </c>
      <c r="D9" t="s">
        <v>34</v>
      </c>
    </row>
    <row r="10" spans="1:4" x14ac:dyDescent="0.3">
      <c r="A10" t="s">
        <v>24</v>
      </c>
      <c r="B10" s="15">
        <f>IF(Dashboard!N10="All Year",IFERROR(SUMIF(Data!C:C,A10,Data!E:E),0),IFERROR(SUMPRODUCT((Data!A2:A3841=Dashboard!N10)*(Data!C2:C3841=A10)*(Data!E2:E3841)),0))</f>
        <v>5274335.3800000018</v>
      </c>
      <c r="D10" t="s">
        <v>35</v>
      </c>
    </row>
    <row r="11" spans="1:4" x14ac:dyDescent="0.3">
      <c r="A11" t="s">
        <v>25</v>
      </c>
      <c r="B11" s="15">
        <f>IF(Dashboard!N10="All Year",IFERROR(SUMIF(Data!C:C,A11,Data!E:E),0),IFERROR(SUMPRODUCT((Data!A2:A3841=Dashboard!N10)*(Data!C2:C3841=A11)*(Data!E2:E3841)),0))</f>
        <v>5062804.8400000026</v>
      </c>
      <c r="D11" t="s">
        <v>36</v>
      </c>
    </row>
    <row r="12" spans="1:4" x14ac:dyDescent="0.3">
      <c r="D12" t="s">
        <v>37</v>
      </c>
    </row>
    <row r="13" spans="1:4" x14ac:dyDescent="0.3">
      <c r="A13" t="s">
        <v>11</v>
      </c>
      <c r="B13" t="s">
        <v>12</v>
      </c>
      <c r="D13" t="s">
        <v>38</v>
      </c>
    </row>
    <row r="14" spans="1:4" x14ac:dyDescent="0.3">
      <c r="A14" t="s">
        <v>18</v>
      </c>
      <c r="B14" s="15">
        <f>IF(Dashboard!N10="All Year",IFERROR(SUMIF(Data!D:D,A14,Data!E:E),0),IFERROR(SUMPRODUCT((Data!A2:A3841=Dashboard!N10)*(Data!D2:D3841=A14)*(Data!E2:E3841)),0))</f>
        <v>6470595.3400000008</v>
      </c>
      <c r="D14" t="s">
        <v>39</v>
      </c>
    </row>
    <row r="15" spans="1:4" x14ac:dyDescent="0.3">
      <c r="A15" t="s">
        <v>19</v>
      </c>
      <c r="B15" s="15">
        <f>IF(Dashboard!N10="All Year",IFERROR(SUMIF(Data!D:D,A15,Data!E:E),0),IFERROR(SUMPRODUCT((Data!A2:A3841=Dashboard!N10)*(Data!D2:D3841=A15)*(Data!E2:E3841)),0))</f>
        <v>6631703.8599999994</v>
      </c>
      <c r="D15" t="s">
        <v>40</v>
      </c>
    </row>
    <row r="16" spans="1:4" x14ac:dyDescent="0.3">
      <c r="A16" t="s">
        <v>20</v>
      </c>
      <c r="B16" s="15">
        <f>IF(Dashboard!N10="All Year",IFERROR(SUMIF(Data!D:D,A16,Data!E:E),0),IFERROR(SUMPRODUCT((Data!A2:A3841=Dashboard!N10)*(Data!D2:D3841=A16)*(Data!E2:E3841)),0))</f>
        <v>6605705.370000002</v>
      </c>
      <c r="D16" t="s">
        <v>41</v>
      </c>
    </row>
    <row r="17" spans="1:4" x14ac:dyDescent="0.3">
      <c r="A17" t="s">
        <v>21</v>
      </c>
      <c r="B17" s="15">
        <f>IF(Dashboard!N10="All Year",IFERROR(SUMIF(Data!D:D,A17,Data!E:E),0),IFERROR(SUMPRODUCT((Data!A2:A3841=Dashboard!N10)*(Data!D2:D3841=A17)*(Data!E2:E3841)),0))</f>
        <v>6472735.7399999974</v>
      </c>
      <c r="D17" t="s">
        <v>42</v>
      </c>
    </row>
    <row r="18" spans="1:4" x14ac:dyDescent="0.3">
      <c r="D18" t="s">
        <v>43</v>
      </c>
    </row>
    <row r="19" spans="1:4" x14ac:dyDescent="0.3">
      <c r="D19" t="s">
        <v>44</v>
      </c>
    </row>
    <row r="20" spans="1:4" x14ac:dyDescent="0.3">
      <c r="D20" t="s">
        <v>45</v>
      </c>
    </row>
    <row r="21" spans="1:4" x14ac:dyDescent="0.3">
      <c r="D21" t="s">
        <v>46</v>
      </c>
    </row>
    <row r="22" spans="1:4" x14ac:dyDescent="0.3">
      <c r="D22" t="s">
        <v>47</v>
      </c>
    </row>
    <row r="23" spans="1:4" x14ac:dyDescent="0.3">
      <c r="D23" t="s">
        <v>48</v>
      </c>
    </row>
    <row r="24" spans="1:4" x14ac:dyDescent="0.3">
      <c r="D24" t="s">
        <v>49</v>
      </c>
    </row>
    <row r="25" spans="1:4" x14ac:dyDescent="0.3">
      <c r="D25" t="s">
        <v>50</v>
      </c>
    </row>
    <row r="26" spans="1:4" x14ac:dyDescent="0.3">
      <c r="D26" t="s">
        <v>51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46"/>
  <sheetViews>
    <sheetView showGridLines="0" tabSelected="1" topLeftCell="A5" zoomScale="84" zoomScaleNormal="84" workbookViewId="0">
      <selection activeCell="N10" sqref="N10:P11"/>
    </sheetView>
  </sheetViews>
  <sheetFormatPr defaultRowHeight="14.4" x14ac:dyDescent="0.3"/>
  <cols>
    <col min="1" max="1" width="1.44140625" customWidth="1"/>
    <col min="2" max="2" width="19.5546875" customWidth="1"/>
    <col min="3" max="3" width="20" customWidth="1"/>
    <col min="4" max="4" width="18.88671875" customWidth="1"/>
    <col min="5" max="5" width="5.33203125" customWidth="1"/>
    <col min="6" max="6" width="19.6640625" customWidth="1"/>
    <col min="7" max="7" width="19.33203125" customWidth="1"/>
    <col min="8" max="8" width="18.44140625" customWidth="1"/>
    <col min="9" max="9" width="6" customWidth="1"/>
    <col min="10" max="10" width="16.77734375" customWidth="1"/>
    <col min="11" max="11" width="18.6640625" customWidth="1"/>
    <col min="12" max="12" width="17.44140625" customWidth="1"/>
    <col min="13" max="13" width="6.77734375" customWidth="1"/>
    <col min="14" max="14" width="10.33203125" customWidth="1"/>
    <col min="15" max="16" width="10" customWidth="1"/>
    <col min="17" max="17" width="2.109375" customWidth="1"/>
    <col min="25" max="25" width="7.88671875" customWidth="1"/>
    <col min="26" max="26" width="0.88671875" customWidth="1"/>
  </cols>
  <sheetData>
    <row r="1" spans="1:26" ht="15" customHeight="1" x14ac:dyDescent="0.3">
      <c r="A1" s="41" t="s">
        <v>57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8"/>
      <c r="S1" s="8"/>
      <c r="T1" s="8"/>
      <c r="U1" s="8"/>
      <c r="V1" s="8"/>
      <c r="W1" s="8"/>
      <c r="X1" s="8"/>
      <c r="Y1" s="8"/>
      <c r="Z1" s="8"/>
    </row>
    <row r="2" spans="1:26" ht="17.399999999999999" customHeight="1" x14ac:dyDescent="0.3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8"/>
      <c r="S2" s="8"/>
      <c r="T2" s="8"/>
      <c r="U2" s="8"/>
      <c r="V2" s="8"/>
      <c r="W2" s="8"/>
      <c r="X2" s="8"/>
      <c r="Y2" s="8"/>
      <c r="Z2" s="8"/>
    </row>
    <row r="3" spans="1:26" ht="5.4" customHeight="1" x14ac:dyDescent="0.3">
      <c r="A3" s="4"/>
      <c r="B3" s="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8"/>
      <c r="S3" s="8"/>
      <c r="T3" s="8"/>
      <c r="U3" s="8"/>
      <c r="V3" s="8"/>
      <c r="W3" s="8"/>
      <c r="X3" s="8"/>
      <c r="Y3" s="8"/>
      <c r="Z3" s="8"/>
    </row>
    <row r="4" spans="1:26" ht="3.6" hidden="1" customHeigh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8"/>
      <c r="S4" s="8"/>
      <c r="T4" s="8"/>
      <c r="U4" s="8"/>
      <c r="V4" s="8"/>
      <c r="W4" s="8"/>
      <c r="X4" s="8"/>
      <c r="Y4" s="8"/>
      <c r="Z4" s="8"/>
    </row>
    <row r="5" spans="1:26" ht="15" customHeight="1" x14ac:dyDescent="0.3">
      <c r="A5" s="4"/>
      <c r="B5" s="6" t="s">
        <v>0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12" t="s">
        <v>56</v>
      </c>
      <c r="O5" s="4"/>
      <c r="P5" s="4"/>
      <c r="Q5" s="4"/>
      <c r="R5" s="8"/>
      <c r="S5" s="8"/>
      <c r="T5" s="8"/>
      <c r="U5" s="8"/>
      <c r="V5" s="8"/>
      <c r="W5" s="8"/>
      <c r="X5" s="8"/>
      <c r="Y5" s="8"/>
      <c r="Z5" s="8"/>
    </row>
    <row r="6" spans="1:26" ht="15" customHeight="1" x14ac:dyDescent="0.3">
      <c r="A6" s="4"/>
      <c r="B6" s="9"/>
      <c r="C6" s="9"/>
      <c r="D6" s="9"/>
      <c r="E6" s="4"/>
      <c r="F6" s="10"/>
      <c r="G6" s="10"/>
      <c r="H6" s="10"/>
      <c r="I6" s="4"/>
      <c r="J6" s="10"/>
      <c r="K6" s="10"/>
      <c r="L6" s="10"/>
      <c r="M6" s="4"/>
      <c r="N6" s="11"/>
      <c r="O6" s="11"/>
      <c r="P6" s="11"/>
      <c r="Q6" s="4"/>
      <c r="R6" s="8"/>
      <c r="S6" s="8"/>
      <c r="T6" s="8"/>
      <c r="U6" s="8"/>
      <c r="V6" s="8"/>
      <c r="W6" s="8"/>
      <c r="X6" s="8"/>
      <c r="Y6" s="8"/>
      <c r="Z6" s="8"/>
    </row>
    <row r="7" spans="1:26" ht="15" customHeight="1" x14ac:dyDescent="0.3">
      <c r="A7" s="4"/>
      <c r="B7" s="7"/>
      <c r="C7" s="7"/>
      <c r="D7" s="7"/>
      <c r="E7" s="4"/>
      <c r="F7" s="7"/>
      <c r="G7" s="7"/>
      <c r="H7" s="7"/>
      <c r="I7" s="4"/>
      <c r="J7" s="7"/>
      <c r="K7" s="7"/>
      <c r="L7" s="7"/>
      <c r="M7" s="4"/>
      <c r="N7" s="7"/>
      <c r="O7" s="7"/>
      <c r="P7" s="7"/>
      <c r="Q7" s="4"/>
      <c r="R7" s="8"/>
      <c r="S7" s="8"/>
      <c r="T7" s="8"/>
      <c r="U7" s="8"/>
      <c r="V7" s="8"/>
      <c r="W7" s="8"/>
      <c r="X7" s="8"/>
      <c r="Y7" s="8"/>
      <c r="Z7" s="8"/>
    </row>
    <row r="8" spans="1:26" ht="15" customHeight="1" x14ac:dyDescent="0.3">
      <c r="A8" s="4"/>
      <c r="B8" s="43" t="s">
        <v>1</v>
      </c>
      <c r="C8" s="44"/>
      <c r="D8" s="45"/>
      <c r="E8" s="4"/>
      <c r="F8" s="20" t="s">
        <v>2</v>
      </c>
      <c r="G8" s="21"/>
      <c r="H8" s="22"/>
      <c r="I8" s="4"/>
      <c r="J8" s="20" t="s">
        <v>3</v>
      </c>
      <c r="K8" s="21"/>
      <c r="L8" s="22"/>
      <c r="M8" s="4"/>
      <c r="N8" s="20" t="s">
        <v>4</v>
      </c>
      <c r="O8" s="21"/>
      <c r="P8" s="22"/>
      <c r="Q8" s="4"/>
      <c r="R8" s="8"/>
      <c r="S8" s="8"/>
      <c r="T8" s="8"/>
      <c r="U8" s="8"/>
      <c r="V8" s="8"/>
      <c r="W8" s="8"/>
      <c r="X8" s="8"/>
      <c r="Y8" s="8"/>
      <c r="Z8" s="8"/>
    </row>
    <row r="9" spans="1:26" ht="15" customHeight="1" x14ac:dyDescent="0.3">
      <c r="A9" s="4"/>
      <c r="B9" s="7"/>
      <c r="C9" s="7"/>
      <c r="D9" s="7"/>
      <c r="E9" s="4"/>
      <c r="F9" s="7"/>
      <c r="G9" s="7"/>
      <c r="H9" s="7"/>
      <c r="I9" s="4"/>
      <c r="J9" s="7"/>
      <c r="K9" s="7"/>
      <c r="L9" s="7"/>
      <c r="M9" s="4"/>
      <c r="N9" s="7"/>
      <c r="O9" s="7"/>
      <c r="P9" s="7"/>
      <c r="Q9" s="4"/>
      <c r="R9" s="8"/>
      <c r="S9" s="8"/>
      <c r="T9" s="8"/>
      <c r="U9" s="8"/>
      <c r="V9" s="8"/>
      <c r="W9" s="8"/>
      <c r="X9" s="8"/>
      <c r="Y9" s="8"/>
      <c r="Z9" s="8"/>
    </row>
    <row r="10" spans="1:26" ht="15" customHeight="1" x14ac:dyDescent="0.3">
      <c r="A10" s="4"/>
      <c r="B10" s="24">
        <f>Filter_Data!B2</f>
        <v>26180740.309999973</v>
      </c>
      <c r="C10" s="25"/>
      <c r="D10" s="26"/>
      <c r="E10" s="4"/>
      <c r="F10" s="39">
        <f>Filter_Data!B3</f>
        <v>8239990.2899999926</v>
      </c>
      <c r="G10" s="31"/>
      <c r="H10" s="32"/>
      <c r="I10" s="4"/>
      <c r="J10" s="30">
        <f>Filter_Data!B4</f>
        <v>0.31473480858188924</v>
      </c>
      <c r="K10" s="31"/>
      <c r="L10" s="32"/>
      <c r="M10" s="4"/>
      <c r="N10" s="37" t="s">
        <v>5</v>
      </c>
      <c r="O10" s="38"/>
      <c r="P10" s="38"/>
      <c r="Q10" s="4"/>
      <c r="R10" s="8"/>
      <c r="S10" s="8"/>
      <c r="T10" s="8"/>
      <c r="U10" s="8"/>
      <c r="V10" s="8"/>
      <c r="W10" s="8"/>
      <c r="X10" s="8"/>
      <c r="Y10" s="8"/>
      <c r="Z10" s="8"/>
    </row>
    <row r="11" spans="1:26" ht="15" customHeight="1" x14ac:dyDescent="0.3">
      <c r="A11" s="4"/>
      <c r="B11" s="27"/>
      <c r="C11" s="28"/>
      <c r="D11" s="29"/>
      <c r="E11" s="4"/>
      <c r="F11" s="33"/>
      <c r="G11" s="34"/>
      <c r="H11" s="35"/>
      <c r="I11" s="4"/>
      <c r="J11" s="33"/>
      <c r="K11" s="34"/>
      <c r="L11" s="35"/>
      <c r="M11" s="4"/>
      <c r="N11" s="38"/>
      <c r="O11" s="38"/>
      <c r="P11" s="38"/>
      <c r="Q11" s="4"/>
      <c r="R11" s="8"/>
      <c r="S11" s="8"/>
      <c r="T11" s="8"/>
      <c r="U11" s="8"/>
      <c r="V11" s="8"/>
      <c r="W11" s="8"/>
      <c r="X11" s="8"/>
      <c r="Y11" s="8"/>
      <c r="Z11" s="8"/>
    </row>
    <row r="12" spans="1:26" ht="15" customHeight="1" x14ac:dyDescent="0.3">
      <c r="A12" s="4"/>
      <c r="B12" s="46" t="s">
        <v>6</v>
      </c>
      <c r="C12" s="47"/>
      <c r="D12" s="48"/>
      <c r="E12" s="4"/>
      <c r="F12" s="36" t="s">
        <v>6</v>
      </c>
      <c r="G12" s="21"/>
      <c r="H12" s="22"/>
      <c r="I12" s="4"/>
      <c r="J12" s="36" t="s">
        <v>6</v>
      </c>
      <c r="K12" s="21"/>
      <c r="L12" s="22"/>
      <c r="M12" s="4"/>
      <c r="N12" s="40" t="s">
        <v>7</v>
      </c>
      <c r="O12" s="21"/>
      <c r="P12" s="22"/>
      <c r="Q12" s="4"/>
      <c r="R12" s="8"/>
      <c r="S12" s="8"/>
      <c r="T12" s="8"/>
      <c r="U12" s="8"/>
      <c r="V12" s="8"/>
      <c r="W12" s="8"/>
      <c r="X12" s="8"/>
      <c r="Y12" s="8"/>
      <c r="Z12" s="8"/>
    </row>
    <row r="13" spans="1:26" ht="15" customHeight="1" x14ac:dyDescent="0.3">
      <c r="A13" s="4"/>
      <c r="B13" s="7"/>
      <c r="C13" s="7"/>
      <c r="D13" s="7"/>
      <c r="E13" s="4"/>
      <c r="F13" s="7"/>
      <c r="G13" s="7"/>
      <c r="H13" s="7"/>
      <c r="I13" s="4"/>
      <c r="J13" s="7"/>
      <c r="K13" s="7"/>
      <c r="L13" s="7"/>
      <c r="M13" s="4"/>
      <c r="N13" s="7"/>
      <c r="O13" s="7"/>
      <c r="P13" s="7"/>
      <c r="Q13" s="4"/>
      <c r="R13" s="8"/>
      <c r="S13" s="8"/>
      <c r="T13" s="8"/>
      <c r="U13" s="8"/>
      <c r="V13" s="8"/>
      <c r="W13" s="8"/>
      <c r="X13" s="8"/>
      <c r="Y13" s="8"/>
      <c r="Z13" s="8"/>
    </row>
    <row r="14" spans="1:26" ht="13.2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8"/>
      <c r="S14" s="8"/>
      <c r="T14" s="8"/>
      <c r="U14" s="8"/>
      <c r="V14" s="8"/>
      <c r="W14" s="8"/>
      <c r="X14" s="8"/>
      <c r="Y14" s="8"/>
      <c r="Z14" s="8"/>
    </row>
    <row r="15" spans="1:26" ht="15" customHeight="1" x14ac:dyDescent="0.3">
      <c r="A15" s="4"/>
      <c r="B15" s="23" t="str">
        <f>IF(N10="All Year","MONTHLY SALES TREND  ·  2024-2025","WEEKLY SALES TREND  ·  "&amp;N10)</f>
        <v>MONTHLY SALES TREND  ·  2024-2025</v>
      </c>
      <c r="C15" s="23"/>
      <c r="D15" s="23"/>
      <c r="E15" s="23"/>
      <c r="F15" s="23"/>
      <c r="G15" s="23"/>
      <c r="H15" s="6" t="str">
        <f>IF(N10="All Year","SALES BY CATEGORY  ·  Full Year","SALES BY CATEGORY  ·  "&amp;N10)</f>
        <v>SALES BY CATEGORY  ·  Full Year</v>
      </c>
      <c r="I15" s="13"/>
      <c r="J15" s="13"/>
      <c r="K15" s="13"/>
      <c r="L15" s="14" t="str">
        <f>IF(N10="All Year","SALES BY REGION  ·  Full Year","SALES BY REGION  ·  "&amp;N10)</f>
        <v>SALES BY REGION  ·  Full Year</v>
      </c>
      <c r="M15" s="13"/>
      <c r="N15" s="13"/>
      <c r="O15" s="13"/>
      <c r="P15" s="13"/>
      <c r="Q15" s="13"/>
      <c r="R15" s="8"/>
      <c r="S15" s="8"/>
      <c r="T15" s="8"/>
      <c r="U15" s="8"/>
      <c r="V15" s="8"/>
      <c r="W15" s="8"/>
      <c r="X15" s="8"/>
      <c r="Y15" s="8"/>
      <c r="Z15" s="8"/>
    </row>
    <row r="16" spans="1:26" ht="1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8"/>
      <c r="S16" s="8"/>
      <c r="T16" s="8"/>
      <c r="U16" s="8"/>
      <c r="V16" s="8"/>
      <c r="W16" s="8"/>
      <c r="X16" s="8"/>
      <c r="Y16" s="8"/>
      <c r="Z16" s="8"/>
    </row>
    <row r="17" spans="1:26" ht="15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8"/>
      <c r="S17" s="8"/>
      <c r="T17" s="8"/>
      <c r="U17" s="8"/>
      <c r="V17" s="8"/>
      <c r="W17" s="8"/>
      <c r="X17" s="8"/>
      <c r="Y17" s="8"/>
      <c r="Z17" s="8"/>
    </row>
    <row r="18" spans="1:26" ht="15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8"/>
      <c r="S18" s="8"/>
      <c r="T18" s="8"/>
      <c r="U18" s="8"/>
      <c r="V18" s="8"/>
      <c r="W18" s="8"/>
      <c r="X18" s="8"/>
      <c r="Y18" s="8"/>
      <c r="Z18" s="8"/>
    </row>
    <row r="19" spans="1:26" ht="15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8"/>
      <c r="S19" s="8"/>
      <c r="T19" s="8"/>
      <c r="U19" s="8"/>
      <c r="V19" s="8"/>
      <c r="W19" s="8"/>
      <c r="X19" s="8"/>
      <c r="Y19" s="8"/>
      <c r="Z19" s="8"/>
    </row>
    <row r="20" spans="1:26" ht="15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8"/>
      <c r="S20" s="8"/>
      <c r="T20" s="8"/>
      <c r="U20" s="8"/>
      <c r="V20" s="8"/>
      <c r="W20" s="8"/>
      <c r="X20" s="8"/>
      <c r="Y20" s="8"/>
      <c r="Z20" s="8"/>
    </row>
    <row r="21" spans="1:26" ht="15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8"/>
      <c r="S21" s="8"/>
      <c r="T21" s="8"/>
      <c r="U21" s="8"/>
      <c r="V21" s="8"/>
      <c r="W21" s="8"/>
      <c r="X21" s="8"/>
      <c r="Y21" s="8"/>
      <c r="Z21" s="8"/>
    </row>
    <row r="22" spans="1:26" ht="15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8"/>
      <c r="S22" s="8"/>
      <c r="T22" s="8"/>
      <c r="U22" s="8"/>
      <c r="V22" s="8"/>
      <c r="W22" s="8"/>
      <c r="X22" s="8"/>
      <c r="Y22" s="8"/>
      <c r="Z22" s="8"/>
    </row>
    <row r="23" spans="1:26" ht="15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8"/>
      <c r="S23" s="8"/>
      <c r="T23" s="8"/>
      <c r="U23" s="8"/>
      <c r="V23" s="8"/>
      <c r="W23" s="8"/>
      <c r="X23" s="8"/>
      <c r="Y23" s="8"/>
      <c r="Z23" s="8"/>
    </row>
    <row r="24" spans="1:26" ht="15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8"/>
      <c r="S24" s="8"/>
      <c r="T24" s="8"/>
      <c r="U24" s="8"/>
      <c r="V24" s="8"/>
      <c r="W24" s="8"/>
      <c r="X24" s="8"/>
      <c r="Y24" s="8"/>
      <c r="Z24" s="8"/>
    </row>
    <row r="25" spans="1:26" ht="15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8"/>
      <c r="S25" s="8"/>
      <c r="T25" s="8"/>
      <c r="U25" s="8"/>
      <c r="V25" s="8"/>
      <c r="W25" s="8"/>
      <c r="X25" s="8"/>
      <c r="Y25" s="8"/>
      <c r="Z25" s="8"/>
    </row>
    <row r="26" spans="1:26" ht="15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8"/>
      <c r="S26" s="8"/>
      <c r="T26" s="8"/>
      <c r="U26" s="8"/>
      <c r="V26" s="8"/>
      <c r="W26" s="8"/>
      <c r="X26" s="8"/>
      <c r="Y26" s="8"/>
      <c r="Z26" s="8"/>
    </row>
    <row r="27" spans="1:26" ht="15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8"/>
      <c r="S27" s="8"/>
      <c r="T27" s="8"/>
      <c r="U27" s="8"/>
      <c r="V27" s="8"/>
      <c r="W27" s="8"/>
      <c r="X27" s="8"/>
      <c r="Y27" s="8"/>
      <c r="Z27" s="8"/>
    </row>
    <row r="28" spans="1:26" ht="15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8"/>
      <c r="S28" s="8"/>
      <c r="T28" s="8"/>
      <c r="U28" s="8"/>
      <c r="V28" s="8"/>
      <c r="W28" s="8"/>
      <c r="X28" s="8"/>
      <c r="Y28" s="8"/>
      <c r="Z28" s="8"/>
    </row>
    <row r="29" spans="1:26" ht="15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8"/>
      <c r="S29" s="8"/>
      <c r="T29" s="8"/>
      <c r="U29" s="8"/>
      <c r="V29" s="8"/>
      <c r="W29" s="8"/>
      <c r="X29" s="8"/>
      <c r="Y29" s="8"/>
      <c r="Z29" s="8"/>
    </row>
    <row r="30" spans="1:26" ht="15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8"/>
      <c r="S30" s="8"/>
      <c r="T30" s="8"/>
      <c r="U30" s="8"/>
      <c r="V30" s="8"/>
      <c r="W30" s="8"/>
      <c r="X30" s="8"/>
      <c r="Y30" s="8"/>
      <c r="Z30" s="8"/>
    </row>
    <row r="31" spans="1:26" ht="15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8"/>
      <c r="S31" s="8"/>
      <c r="T31" s="8"/>
      <c r="U31" s="8"/>
      <c r="V31" s="8"/>
      <c r="W31" s="8"/>
      <c r="X31" s="8"/>
      <c r="Y31" s="8"/>
      <c r="Z31" s="8"/>
    </row>
    <row r="32" spans="1:26" ht="15" customHeight="1" x14ac:dyDescent="0.3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8"/>
      <c r="S32" s="8"/>
      <c r="T32" s="8"/>
      <c r="U32" s="8"/>
      <c r="V32" s="8"/>
      <c r="W32" s="8"/>
      <c r="X32" s="8"/>
      <c r="Y32" s="8"/>
      <c r="Z32" s="8"/>
    </row>
    <row r="33" spans="1:26" ht="11.4" customHeight="1" x14ac:dyDescent="0.3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8"/>
      <c r="S33" s="8"/>
      <c r="T33" s="8"/>
      <c r="U33" s="8"/>
      <c r="V33" s="8"/>
      <c r="W33" s="8"/>
      <c r="X33" s="8"/>
      <c r="Y33" s="8"/>
      <c r="Z33" s="8"/>
    </row>
    <row r="34" spans="1:26" ht="15" customHeight="1" x14ac:dyDescent="0.3">
      <c r="A34" s="18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8"/>
      <c r="S34" s="8"/>
      <c r="T34" s="8"/>
      <c r="U34" s="8"/>
      <c r="V34" s="8"/>
      <c r="W34" s="8"/>
      <c r="X34" s="8"/>
      <c r="Y34" s="8"/>
      <c r="Z34" s="8"/>
    </row>
    <row r="35" spans="1:26" x14ac:dyDescent="0.3">
      <c r="R35" s="8"/>
      <c r="S35" s="8"/>
      <c r="T35" s="8"/>
      <c r="U35" s="8"/>
      <c r="V35" s="8"/>
      <c r="W35" s="8"/>
      <c r="X35" s="8"/>
      <c r="Y35" s="8"/>
      <c r="Z35" s="8"/>
    </row>
    <row r="36" spans="1:26" x14ac:dyDescent="0.3">
      <c r="R36" s="8"/>
      <c r="S36" s="8"/>
      <c r="T36" s="8"/>
      <c r="U36" s="8"/>
      <c r="V36" s="8"/>
      <c r="W36" s="8"/>
      <c r="X36" s="8"/>
      <c r="Y36" s="8"/>
      <c r="Z36" s="8"/>
    </row>
    <row r="37" spans="1:26" x14ac:dyDescent="0.3">
      <c r="R37" s="8"/>
      <c r="S37" s="8"/>
      <c r="T37" s="8"/>
      <c r="U37" s="8"/>
      <c r="V37" s="8"/>
      <c r="W37" s="8"/>
      <c r="X37" s="8"/>
      <c r="Y37" s="8"/>
      <c r="Z37" s="8"/>
    </row>
    <row r="38" spans="1:26" x14ac:dyDescent="0.3">
      <c r="R38" s="8"/>
      <c r="S38" s="8"/>
      <c r="T38" s="8"/>
      <c r="U38" s="8"/>
      <c r="V38" s="8"/>
      <c r="W38" s="8"/>
      <c r="X38" s="8"/>
      <c r="Y38" s="8"/>
      <c r="Z38" s="8"/>
    </row>
    <row r="39" spans="1:26" x14ac:dyDescent="0.3">
      <c r="R39" s="8"/>
      <c r="S39" s="8"/>
      <c r="T39" s="8"/>
      <c r="U39" s="8"/>
      <c r="V39" s="8"/>
      <c r="W39" s="8"/>
      <c r="X39" s="8"/>
      <c r="Y39" s="8"/>
      <c r="Z39" s="8"/>
    </row>
    <row r="40" spans="1:26" x14ac:dyDescent="0.3">
      <c r="R40" s="8"/>
      <c r="S40" s="8"/>
      <c r="T40" s="8"/>
      <c r="U40" s="8"/>
      <c r="V40" s="8"/>
      <c r="W40" s="8"/>
      <c r="X40" s="8"/>
      <c r="Y40" s="8"/>
      <c r="Z40" s="8"/>
    </row>
    <row r="41" spans="1:26" x14ac:dyDescent="0.3">
      <c r="R41" s="8"/>
      <c r="S41" s="8"/>
      <c r="T41" s="8"/>
      <c r="U41" s="8"/>
      <c r="V41" s="8"/>
      <c r="W41" s="8"/>
      <c r="X41" s="8"/>
      <c r="Y41" s="8"/>
      <c r="Z41" s="8"/>
    </row>
    <row r="42" spans="1:26" x14ac:dyDescent="0.3">
      <c r="R42" s="8"/>
      <c r="S42" s="8"/>
      <c r="T42" s="8"/>
      <c r="U42" s="8"/>
      <c r="V42" s="8"/>
      <c r="W42" s="8"/>
      <c r="X42" s="8"/>
      <c r="Y42" s="8"/>
      <c r="Z42" s="8"/>
    </row>
    <row r="43" spans="1:26" x14ac:dyDescent="0.3">
      <c r="R43" s="8"/>
      <c r="S43" s="8"/>
      <c r="T43" s="8"/>
      <c r="U43" s="8"/>
      <c r="V43" s="8"/>
      <c r="W43" s="8"/>
      <c r="X43" s="8"/>
      <c r="Y43" s="8"/>
      <c r="Z43" s="8"/>
    </row>
    <row r="44" spans="1:26" x14ac:dyDescent="0.3">
      <c r="R44" s="8"/>
      <c r="S44" s="8"/>
      <c r="T44" s="8"/>
      <c r="U44" s="8"/>
      <c r="V44" s="8"/>
      <c r="W44" s="8"/>
      <c r="X44" s="8"/>
      <c r="Y44" s="8"/>
      <c r="Z44" s="8"/>
    </row>
    <row r="45" spans="1:26" x14ac:dyDescent="0.3">
      <c r="R45" s="8"/>
      <c r="S45" s="8"/>
      <c r="T45" s="8"/>
      <c r="U45" s="8"/>
      <c r="V45" s="8"/>
      <c r="W45" s="8"/>
      <c r="X45" s="8"/>
      <c r="Y45" s="8"/>
      <c r="Z45" s="8"/>
    </row>
    <row r="46" spans="1:26" x14ac:dyDescent="0.3">
      <c r="R46" s="8"/>
      <c r="S46" s="8"/>
      <c r="T46" s="8"/>
      <c r="U46" s="8"/>
      <c r="V46" s="8"/>
      <c r="W46" s="8"/>
      <c r="X46" s="8"/>
      <c r="Y46" s="8"/>
      <c r="Z46" s="8"/>
    </row>
  </sheetData>
  <mergeCells count="15">
    <mergeCell ref="A1:Q2"/>
    <mergeCell ref="B8:D8"/>
    <mergeCell ref="B12:D12"/>
    <mergeCell ref="N8:P8"/>
    <mergeCell ref="A34:Q34"/>
    <mergeCell ref="F8:H8"/>
    <mergeCell ref="J8:L8"/>
    <mergeCell ref="B15:G15"/>
    <mergeCell ref="B10:D11"/>
    <mergeCell ref="J10:L11"/>
    <mergeCell ref="F12:H12"/>
    <mergeCell ref="N10:P11"/>
    <mergeCell ref="J12:L12"/>
    <mergeCell ref="F10:H11"/>
    <mergeCell ref="N12:P12"/>
  </mergeCell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xr:uid="{00000000-0002-0000-0300-000000000000}">
          <x14:formula1>
            <xm:f>Filter_Data!$D$2:$D$26</xm:f>
          </x14:formula1>
          <xm:sqref>N10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Chart_Data</vt:lpstr>
      <vt:lpstr>Filter_Data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Mayuri Patel</cp:lastModifiedBy>
  <dcterms:created xsi:type="dcterms:W3CDTF">2026-02-23T07:38:23Z</dcterms:created>
  <dcterms:modified xsi:type="dcterms:W3CDTF">2026-02-24T21:06:16Z</dcterms:modified>
</cp:coreProperties>
</file>